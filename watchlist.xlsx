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觀察清單" sheetId="1" state="visible" r:id="rId3"/>
    <sheet name="主題摘要" sheetId="2" state="visible" r:id="rId4"/>
    <sheet name="刪除紀錄" sheetId="3" state="visible" r:id="rId5"/>
    <sheet name="說明" sheetId="4" state="visible" r:id="rId6"/>
  </sheets>
  <definedNames>
    <definedName function="false" hidden="true" localSheetId="0" name="_xlnm._FilterDatabase" vbProcedure="false">觀察清單!$A$1:$J$147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<sst xmlns="http://schemas.openxmlformats.org/spreadsheetml/2006/main" count="1736" uniqueCount="595">
  <si>
    <t xml:space="preserve">市場</t>
  </si>
  <si>
    <t xml:space="preserve">代號</t>
  </si>
  <si>
    <t xml:space="preserve">名稱</t>
  </si>
  <si>
    <t xml:space="preserve">主題</t>
  </si>
  <si>
    <t xml:space="preserve">子題</t>
  </si>
  <si>
    <t xml:space="preserve">角色</t>
  </si>
  <si>
    <t xml:space="preserve">用途</t>
  </si>
  <si>
    <t xml:space="preserve">評分模型</t>
  </si>
  <si>
    <t xml:space="preserve">理由</t>
  </si>
  <si>
    <r>
      <rPr>
        <b val="true"/>
        <sz val="11"/>
        <color rgb="FFFFFFFF"/>
        <rFont val="Noto Sans CJK SC"/>
        <family val="2"/>
      </rPr>
      <t xml:space="preserve">保留</t>
    </r>
    <r>
      <rPr>
        <b val="true"/>
        <sz val="11"/>
        <color rgb="FFFFFFFF"/>
        <rFont val="Arial"/>
        <family val="0"/>
        <charset val="1"/>
      </rPr>
      <t xml:space="preserve">(Y/N)</t>
    </r>
  </si>
  <si>
    <t xml:space="preserve">美股</t>
  </si>
  <si>
    <t xml:space="preserve">MRVL</t>
  </si>
  <si>
    <t xml:space="preserve">Marvell</t>
  </si>
  <si>
    <t xml:space="preserve">半導體</t>
  </si>
  <si>
    <r>
      <rPr>
        <sz val="10"/>
        <rFont val="Noto Sans CJK SC"/>
        <family val="2"/>
      </rPr>
      <t xml:space="preserve">晶片</t>
    </r>
    <r>
      <rPr>
        <sz val="10"/>
        <rFont val="Arial"/>
        <family val="0"/>
        <charset val="1"/>
      </rPr>
      <t xml:space="preserve">/IC </t>
    </r>
    <r>
      <rPr>
        <sz val="10"/>
        <rFont val="Noto Sans CJK SC"/>
        <family val="2"/>
      </rPr>
      <t xml:space="preserve">設計</t>
    </r>
  </si>
  <si>
    <t xml:space="preserve">二線</t>
  </si>
  <si>
    <t xml:space="preserve">候選</t>
  </si>
  <si>
    <t xml:space="preserve">一般</t>
  </si>
  <si>
    <r>
      <rPr>
        <sz val="10"/>
        <rFont val="Noto Sans CJK SC"/>
        <family val="2"/>
      </rPr>
      <t xml:space="preserve">客製 </t>
    </r>
    <r>
      <rPr>
        <sz val="10"/>
        <rFont val="Arial"/>
        <family val="0"/>
        <charset val="1"/>
      </rPr>
      <t xml:space="preserve">ASIC</t>
    </r>
    <r>
      <rPr>
        <sz val="10"/>
        <rFont val="Noto Sans CJK SC"/>
        <family val="2"/>
      </rPr>
      <t xml:space="preserve">、光通訊 </t>
    </r>
    <r>
      <rPr>
        <sz val="10"/>
        <rFont val="Arial"/>
        <family val="0"/>
        <charset val="1"/>
      </rPr>
      <t xml:space="preserve">DSP</t>
    </r>
  </si>
  <si>
    <t xml:space="preserve">Y</t>
  </si>
  <si>
    <t xml:space="preserve">ALAB</t>
  </si>
  <si>
    <t xml:space="preserve">Astera Labs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</si>
  <si>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伺服器連接晶片</t>
    </r>
  </si>
  <si>
    <t xml:space="preserve">CRDO</t>
  </si>
  <si>
    <t xml:space="preserve">Credo</t>
  </si>
  <si>
    <r>
      <rPr>
        <sz val="10"/>
        <rFont val="Noto Sans CJK SC"/>
        <family val="2"/>
      </rPr>
      <t xml:space="preserve">高速傳輸 </t>
    </r>
    <r>
      <rPr>
        <sz val="10"/>
        <rFont val="Arial"/>
        <family val="0"/>
        <charset val="1"/>
      </rPr>
      <t xml:space="preserve">AEC </t>
    </r>
    <r>
      <rPr>
        <sz val="10"/>
        <rFont val="Noto Sans CJK SC"/>
        <family val="2"/>
      </rPr>
      <t xml:space="preserve">線材晶片</t>
    </r>
  </si>
  <si>
    <t xml:space="preserve">ONTO</t>
  </si>
  <si>
    <t xml:space="preserve">Onto Innovation</t>
  </si>
  <si>
    <r>
      <rPr>
        <sz val="10"/>
        <rFont val="Noto Sans CJK SC"/>
        <family val="2"/>
      </rPr>
      <t xml:space="preserve">設備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材料</t>
    </r>
  </si>
  <si>
    <t xml:space="preserve">先進封裝檢測</t>
  </si>
  <si>
    <t xml:space="preserve">CAMT</t>
  </si>
  <si>
    <t xml:space="preserve">Camtek</t>
  </si>
  <si>
    <r>
      <rPr>
        <sz val="10"/>
        <rFont val="Arial"/>
        <family val="0"/>
        <charset val="1"/>
      </rPr>
      <t xml:space="preserve">HBM/</t>
    </r>
    <r>
      <rPr>
        <sz val="10"/>
        <rFont val="Noto Sans CJK SC"/>
        <family val="2"/>
      </rPr>
      <t xml:space="preserve">先進封裝檢測</t>
    </r>
  </si>
  <si>
    <t xml:space="preserve">NVMI</t>
  </si>
  <si>
    <t xml:space="preserve">Nova</t>
  </si>
  <si>
    <t xml:space="preserve">量測設備</t>
  </si>
  <si>
    <t xml:space="preserve">AEHR</t>
  </si>
  <si>
    <t xml:space="preserve">Aehr Test</t>
  </si>
  <si>
    <t xml:space="preserve">小型潛力</t>
  </si>
  <si>
    <t xml:space="preserve">晶圓級燒機測試，股本小</t>
  </si>
  <si>
    <t xml:space="preserve">FORM</t>
  </si>
  <si>
    <t xml:space="preserve">FormFactor</t>
  </si>
  <si>
    <r>
      <rPr>
        <sz val="10"/>
        <rFont val="Noto Sans CJK SC"/>
        <family val="2"/>
      </rPr>
      <t xml:space="preserve">探針卡，</t>
    </r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</rPr>
      <t xml:space="preserve">測試</t>
    </r>
  </si>
  <si>
    <t xml:space="preserve">UCTT</t>
  </si>
  <si>
    <t xml:space="preserve">Ultra Clean</t>
  </si>
  <si>
    <t xml:space="preserve">設備零組件</t>
  </si>
  <si>
    <t xml:space="preserve">AMKR</t>
  </si>
  <si>
    <t xml:space="preserve">Amkor</t>
  </si>
  <si>
    <r>
      <rPr>
        <sz val="10"/>
        <rFont val="Noto Sans CJK SC"/>
        <family val="2"/>
      </rPr>
      <t xml:space="preserve">先進封裝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測試</t>
    </r>
  </si>
  <si>
    <t xml:space="preserve">美國最大封測廠</t>
  </si>
  <si>
    <t xml:space="preserve">台股</t>
  </si>
  <si>
    <t xml:space="preserve">2408</t>
  </si>
  <si>
    <t xml:space="preserve">南亞科</t>
  </si>
  <si>
    <t xml:space="preserve">記憶體</t>
  </si>
  <si>
    <t xml:space="preserve">龍頭</t>
  </si>
  <si>
    <r>
      <rPr>
        <sz val="10"/>
        <rFont val="Noto Sans CJK SC"/>
        <family val="2"/>
      </rPr>
      <t xml:space="preserve">台灣 </t>
    </r>
    <r>
      <rPr>
        <sz val="10"/>
        <rFont val="Arial"/>
        <family val="0"/>
        <charset val="1"/>
      </rPr>
      <t xml:space="preserve">DRAM </t>
    </r>
    <r>
      <rPr>
        <sz val="10"/>
        <rFont val="Noto Sans CJK SC"/>
        <family val="2"/>
      </rPr>
      <t xml:space="preserve">代表，報價敏感度高</t>
    </r>
  </si>
  <si>
    <t xml:space="preserve">2344</t>
  </si>
  <si>
    <t xml:space="preserve">華邦電</t>
  </si>
  <si>
    <r>
      <rPr>
        <sz val="10"/>
        <rFont val="Noto Sans CJK SC"/>
        <family val="2"/>
      </rPr>
      <t xml:space="preserve">利基型 </t>
    </r>
    <r>
      <rPr>
        <sz val="10"/>
        <rFont val="Arial"/>
        <family val="0"/>
        <charset val="1"/>
      </rPr>
      <t xml:space="preserve">DRAM/NOR Flash</t>
    </r>
  </si>
  <si>
    <t xml:space="preserve">2337</t>
  </si>
  <si>
    <t xml:space="preserve">旺宏</t>
  </si>
  <si>
    <r>
      <rPr>
        <sz val="10"/>
        <rFont val="Arial"/>
        <family val="0"/>
        <charset val="1"/>
      </rPr>
      <t xml:space="preserve">NOR/NAND</t>
    </r>
    <r>
      <rPr>
        <sz val="10"/>
        <rFont val="Noto Sans CJK SC"/>
        <family val="2"/>
      </rPr>
      <t xml:space="preserve">，景氣循環彈性大</t>
    </r>
  </si>
  <si>
    <t xml:space="preserve">8299</t>
  </si>
  <si>
    <t xml:space="preserve">群聯</t>
  </si>
  <si>
    <r>
      <rPr>
        <sz val="10"/>
        <rFont val="Arial"/>
        <family val="0"/>
        <charset val="1"/>
      </rPr>
      <t xml:space="preserve">NAND </t>
    </r>
    <r>
      <rPr>
        <sz val="10"/>
        <rFont val="Noto Sans CJK SC"/>
        <family val="2"/>
      </rPr>
      <t xml:space="preserve">控制晶片＋企業級 </t>
    </r>
    <r>
      <rPr>
        <sz val="10"/>
        <rFont val="Arial"/>
        <family val="0"/>
        <charset val="1"/>
      </rPr>
      <t xml:space="preserve">SSD</t>
    </r>
  </si>
  <si>
    <t xml:space="preserve">3260</t>
  </si>
  <si>
    <t xml:space="preserve">威剛</t>
  </si>
  <si>
    <r>
      <rPr>
        <sz val="10"/>
        <rFont val="Noto Sans CJK SC"/>
        <family val="2"/>
      </rPr>
      <t xml:space="preserve">記憶體模組，庫存跌價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漲價槓桿</t>
    </r>
  </si>
  <si>
    <t xml:space="preserve">4967</t>
  </si>
  <si>
    <t xml:space="preserve">十銓</t>
  </si>
  <si>
    <t xml:space="preserve">模組廠，股本小彈性大</t>
  </si>
  <si>
    <t xml:space="preserve">3006</t>
  </si>
  <si>
    <t xml:space="preserve">晶豪科</t>
  </si>
  <si>
    <r>
      <rPr>
        <sz val="10"/>
        <rFont val="Noto Sans CJK SC"/>
        <family val="2"/>
      </rPr>
      <t xml:space="preserve">利基型 </t>
    </r>
    <r>
      <rPr>
        <sz val="10"/>
        <rFont val="Arial"/>
        <family val="0"/>
        <charset val="1"/>
      </rPr>
      <t xml:space="preserve">DRAM IC </t>
    </r>
    <r>
      <rPr>
        <sz val="10"/>
        <rFont val="Noto Sans CJK SC"/>
        <family val="2"/>
      </rPr>
      <t xml:space="preserve">設計</t>
    </r>
  </si>
  <si>
    <t xml:space="preserve">6531</t>
  </si>
  <si>
    <t xml:space="preserve">愛普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</si>
  <si>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記憶體 </t>
    </r>
    <r>
      <rPr>
        <sz val="10"/>
        <rFont val="Arial"/>
        <family val="0"/>
        <charset val="1"/>
      </rPr>
      <t xml:space="preserve">IP/</t>
    </r>
    <r>
      <rPr>
        <sz val="10"/>
        <rFont val="Noto Sans CJK SC"/>
        <family val="2"/>
      </rPr>
      <t xml:space="preserve">堆疊技術</t>
    </r>
  </si>
  <si>
    <t xml:space="preserve">3661</t>
  </si>
  <si>
    <r>
      <rPr>
        <sz val="10"/>
        <rFont val="Noto Sans CJK SC"/>
        <family val="2"/>
      </rPr>
      <t xml:space="preserve">世芯</t>
    </r>
    <r>
      <rPr>
        <sz val="10"/>
        <rFont val="Arial"/>
        <family val="0"/>
        <charset val="1"/>
      </rPr>
      <t xml:space="preserve">-KY</t>
    </r>
  </si>
  <si>
    <r>
      <rPr>
        <sz val="10"/>
        <rFont val="Arial"/>
        <family val="0"/>
        <charset val="1"/>
      </rPr>
      <t xml:space="preserve">AI ASIC </t>
    </r>
    <r>
      <rPr>
        <sz val="10"/>
        <rFont val="Noto Sans CJK SC"/>
        <family val="2"/>
      </rPr>
      <t xml:space="preserve">設計服務</t>
    </r>
  </si>
  <si>
    <t xml:space="preserve">3443</t>
  </si>
  <si>
    <t xml:space="preserve">創意</t>
  </si>
  <si>
    <r>
      <rPr>
        <sz val="10"/>
        <rFont val="Noto Sans CJK SC"/>
        <family val="2"/>
      </rPr>
      <t xml:space="preserve">台積電體系 </t>
    </r>
    <r>
      <rPr>
        <sz val="10"/>
        <rFont val="Arial"/>
        <family val="0"/>
        <charset val="1"/>
      </rPr>
      <t xml:space="preserve">ASIC </t>
    </r>
    <r>
      <rPr>
        <sz val="10"/>
        <rFont val="Noto Sans CJK SC"/>
        <family val="2"/>
      </rPr>
      <t xml:space="preserve">設計服務</t>
    </r>
  </si>
  <si>
    <t xml:space="preserve">3035</t>
  </si>
  <si>
    <t xml:space="preserve">智原</t>
  </si>
  <si>
    <r>
      <rPr>
        <sz val="10"/>
        <rFont val="Arial"/>
        <family val="0"/>
        <charset val="1"/>
      </rPr>
      <t xml:space="preserve">ASIC </t>
    </r>
    <r>
      <rPr>
        <sz val="10"/>
        <rFont val="Noto Sans CJK SC"/>
        <family val="2"/>
      </rPr>
      <t xml:space="preserve">設計服務</t>
    </r>
  </si>
  <si>
    <t xml:space="preserve">3529</t>
  </si>
  <si>
    <t xml:space="preserve">力旺</t>
  </si>
  <si>
    <r>
      <rPr>
        <sz val="10"/>
        <rFont val="Noto Sans CJK SC"/>
        <family val="2"/>
      </rPr>
      <t xml:space="preserve">矽智財 </t>
    </r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，授權模式</t>
    </r>
  </si>
  <si>
    <t xml:space="preserve">6643</t>
  </si>
  <si>
    <t xml:space="preserve">M31</t>
  </si>
  <si>
    <r>
      <rPr>
        <sz val="10"/>
        <rFont val="Noto Sans CJK SC"/>
        <family val="2"/>
      </rPr>
      <t xml:space="preserve">矽智財 </t>
    </r>
    <r>
      <rPr>
        <sz val="10"/>
        <rFont val="Arial"/>
        <family val="0"/>
        <charset val="1"/>
      </rPr>
      <t xml:space="preserve">IP</t>
    </r>
  </si>
  <si>
    <t xml:space="preserve">4966</t>
  </si>
  <si>
    <r>
      <rPr>
        <sz val="10"/>
        <rFont val="Noto Sans CJK SC"/>
        <family val="2"/>
      </rPr>
      <t xml:space="preserve">譜瑞</t>
    </r>
    <r>
      <rPr>
        <sz val="10"/>
        <rFont val="Arial"/>
        <family val="0"/>
        <charset val="1"/>
      </rPr>
      <t xml:space="preserve">-KY</t>
    </r>
  </si>
  <si>
    <r>
      <rPr>
        <sz val="10"/>
        <rFont val="Noto Sans CJK SC"/>
        <family val="2"/>
      </rPr>
      <t xml:space="preserve">高速傳輸介面 </t>
    </r>
    <r>
      <rPr>
        <sz val="10"/>
        <rFont val="Arial"/>
        <family val="0"/>
        <charset val="1"/>
      </rPr>
      <t xml:space="preserve">IC</t>
    </r>
  </si>
  <si>
    <t xml:space="preserve">3131</t>
  </si>
  <si>
    <t xml:space="preserve">弘塑</t>
  </si>
  <si>
    <t xml:space="preserve">先進封裝濕製程設備</t>
  </si>
  <si>
    <t xml:space="preserve">3583</t>
  </si>
  <si>
    <t xml:space="preserve">辛耘</t>
  </si>
  <si>
    <r>
      <rPr>
        <sz val="10"/>
        <rFont val="Noto Sans CJK SC"/>
        <family val="2"/>
      </rPr>
      <t xml:space="preserve">先進封裝設備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再生晶圓</t>
    </r>
  </si>
  <si>
    <t xml:space="preserve">6187</t>
  </si>
  <si>
    <t xml:space="preserve">萬潤</t>
  </si>
  <si>
    <r>
      <rPr>
        <sz val="10"/>
        <rFont val="Arial"/>
        <family val="0"/>
        <charset val="1"/>
      </rPr>
      <t xml:space="preserve">CoWoS </t>
    </r>
    <r>
      <rPr>
        <sz val="10"/>
        <rFont val="Noto Sans CJK SC"/>
        <family val="2"/>
      </rPr>
      <t xml:space="preserve">設備</t>
    </r>
  </si>
  <si>
    <t xml:space="preserve">6640</t>
  </si>
  <si>
    <t xml:space="preserve">均華</t>
  </si>
  <si>
    <t xml:space="preserve">先進封裝挑揀設備</t>
  </si>
  <si>
    <t xml:space="preserve">2467</t>
  </si>
  <si>
    <t xml:space="preserve">志聖</t>
  </si>
  <si>
    <r>
      <rPr>
        <sz val="10"/>
        <rFont val="Noto Sans CJK SC"/>
        <family val="2"/>
      </rPr>
      <t xml:space="preserve">先進封裝壓膜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烘烤設備</t>
    </r>
  </si>
  <si>
    <t xml:space="preserve">3413</t>
  </si>
  <si>
    <t xml:space="preserve">京鼎</t>
  </si>
  <si>
    <t xml:space="preserve">半導體設備代工</t>
  </si>
  <si>
    <t xml:space="preserve">3680</t>
  </si>
  <si>
    <t xml:space="preserve">家登</t>
  </si>
  <si>
    <r>
      <rPr>
        <sz val="10"/>
        <rFont val="Arial"/>
        <family val="0"/>
        <charset val="1"/>
      </rPr>
      <t xml:space="preserve">EUV </t>
    </r>
    <r>
      <rPr>
        <sz val="10"/>
        <rFont val="Noto Sans CJK SC"/>
        <family val="2"/>
      </rPr>
      <t xml:space="preserve">光罩盒</t>
    </r>
  </si>
  <si>
    <t xml:space="preserve">2404</t>
  </si>
  <si>
    <t xml:space="preserve">漢唐</t>
  </si>
  <si>
    <t xml:space="preserve">無塵室工程</t>
  </si>
  <si>
    <t xml:space="preserve">8027</t>
  </si>
  <si>
    <t xml:space="preserve">鈦昇</t>
  </si>
  <si>
    <t xml:space="preserve">雷射設備，玻璃基板題材</t>
  </si>
  <si>
    <t xml:space="preserve">2449</t>
  </si>
  <si>
    <t xml:space="preserve">京元電子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</si>
  <si>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晶片測試</t>
    </r>
  </si>
  <si>
    <t xml:space="preserve">6515</t>
  </si>
  <si>
    <t xml:space="preserve">穎崴</t>
  </si>
  <si>
    <r>
      <rPr>
        <sz val="10"/>
        <rFont val="Noto Sans CJK SC"/>
        <family val="2"/>
      </rPr>
      <t xml:space="preserve">測試座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探針</t>
    </r>
  </si>
  <si>
    <t xml:space="preserve">6223</t>
  </si>
  <si>
    <t xml:space="preserve">旺矽</t>
  </si>
  <si>
    <t xml:space="preserve">探針卡</t>
  </si>
  <si>
    <t xml:space="preserve">6510</t>
  </si>
  <si>
    <t xml:space="preserve">精測</t>
  </si>
  <si>
    <t xml:space="preserve">測試介面板</t>
  </si>
  <si>
    <t xml:space="preserve">6683</t>
  </si>
  <si>
    <t xml:space="preserve">雍智科技</t>
  </si>
  <si>
    <t xml:space="preserve">測試載板</t>
  </si>
  <si>
    <t xml:space="preserve">COHR</t>
  </si>
  <si>
    <t xml:space="preserve">Coherent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</si>
  <si>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基建</t>
    </r>
  </si>
  <si>
    <r>
      <rPr>
        <sz val="10"/>
        <rFont val="Noto Sans CJK SC"/>
        <family val="2"/>
      </rPr>
      <t xml:space="preserve">光通訊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矽光子</t>
    </r>
  </si>
  <si>
    <t xml:space="preserve">光收發模組、雷射</t>
  </si>
  <si>
    <t xml:space="preserve">LITE</t>
  </si>
  <si>
    <t xml:space="preserve">Lumentum</t>
  </si>
  <si>
    <r>
      <rPr>
        <sz val="10"/>
        <rFont val="Noto Sans CJK SC"/>
        <family val="2"/>
      </rPr>
      <t xml:space="preserve">光元件、</t>
    </r>
    <r>
      <rPr>
        <sz val="10"/>
        <rFont val="Arial"/>
        <family val="0"/>
        <charset val="1"/>
      </rPr>
      <t xml:space="preserve">CPO</t>
    </r>
  </si>
  <si>
    <t xml:space="preserve">FN</t>
  </si>
  <si>
    <t xml:space="preserve">Fabrinet</t>
  </si>
  <si>
    <t xml:space="preserve">光模組代工</t>
  </si>
  <si>
    <t xml:space="preserve">CIEN</t>
  </si>
  <si>
    <t xml:space="preserve">Ciena</t>
  </si>
  <si>
    <t xml:space="preserve">資料中心互連</t>
  </si>
  <si>
    <t xml:space="preserve">AAOI</t>
  </si>
  <si>
    <t xml:space="preserve">Applied Opto</t>
  </si>
  <si>
    <t xml:space="preserve">光模組，高波動</t>
  </si>
  <si>
    <t xml:space="preserve">CLS</t>
  </si>
  <si>
    <t xml:space="preserve">Celestica</t>
  </si>
  <si>
    <r>
      <rPr>
        <sz val="10"/>
        <rFont val="Noto Sans CJK SC"/>
        <family val="2"/>
      </rPr>
      <t xml:space="preserve">伺服器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網通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</si>
  <si>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伺服器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交換器代工</t>
    </r>
  </si>
  <si>
    <t xml:space="preserve">VRT</t>
  </si>
  <si>
    <t xml:space="preserve">Vertiv</t>
  </si>
  <si>
    <r>
      <rPr>
        <sz val="10"/>
        <rFont val="Noto Sans CJK SC"/>
        <family val="2"/>
      </rPr>
      <t xml:space="preserve">散熱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機電</t>
    </r>
  </si>
  <si>
    <t xml:space="preserve">資料中心電源＋液冷</t>
  </si>
  <si>
    <t xml:space="preserve">MOD</t>
  </si>
  <si>
    <t xml:space="preserve">Modine</t>
  </si>
  <si>
    <t xml:space="preserve">資料中心散熱</t>
  </si>
  <si>
    <t xml:space="preserve">TTMI</t>
  </si>
  <si>
    <t xml:space="preserve">TTM Technologies</t>
  </si>
  <si>
    <t xml:space="preserve">PCB/CCL</t>
  </si>
  <si>
    <r>
      <rPr>
        <sz val="10"/>
        <rFont val="Noto Sans CJK SC"/>
        <family val="2"/>
      </rPr>
      <t xml:space="preserve">美國 </t>
    </r>
    <r>
      <rPr>
        <sz val="10"/>
        <rFont val="Arial"/>
        <family val="0"/>
        <charset val="1"/>
      </rPr>
      <t xml:space="preserve">PCB </t>
    </r>
    <r>
      <rPr>
        <sz val="10"/>
        <rFont val="Noto Sans CJK SC"/>
        <family val="2"/>
      </rPr>
      <t xml:space="preserve">大廠</t>
    </r>
  </si>
  <si>
    <t xml:space="preserve">NBIS</t>
  </si>
  <si>
    <t xml:space="preserve">Nebius</t>
  </si>
  <si>
    <r>
      <rPr>
        <sz val="10"/>
        <rFont val="Noto Sans CJK SC"/>
        <family val="2"/>
      </rPr>
      <t xml:space="preserve">雲端算力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資料中心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</si>
  <si>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雲</t>
    </r>
  </si>
  <si>
    <t xml:space="preserve">IREN</t>
  </si>
  <si>
    <r>
      <rPr>
        <sz val="10"/>
        <rFont val="Noto Sans CJK SC"/>
        <family val="2"/>
      </rPr>
      <t xml:space="preserve">礦機轉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算力</t>
    </r>
  </si>
  <si>
    <t xml:space="preserve">APLD</t>
  </si>
  <si>
    <t xml:space="preserve">Applied Digital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</si>
  <si>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資料中心</t>
    </r>
  </si>
  <si>
    <t xml:space="preserve">3081</t>
  </si>
  <si>
    <t xml:space="preserve">聯亞</t>
  </si>
  <si>
    <t xml:space="preserve">磷化銦雷射晶片</t>
  </si>
  <si>
    <t xml:space="preserve">4979</t>
  </si>
  <si>
    <t xml:space="preserve">華星光</t>
  </si>
  <si>
    <t xml:space="preserve">光收發模組</t>
  </si>
  <si>
    <t xml:space="preserve">3363</t>
  </si>
  <si>
    <t xml:space="preserve">上詮</t>
  </si>
  <si>
    <r>
      <rPr>
        <sz val="10"/>
        <rFont val="Arial"/>
        <family val="0"/>
        <charset val="1"/>
      </rPr>
      <t xml:space="preserve">CPO </t>
    </r>
    <r>
      <rPr>
        <sz val="10"/>
        <rFont val="Noto Sans CJK SC"/>
        <family val="2"/>
      </rPr>
      <t xml:space="preserve">光纖連接</t>
    </r>
  </si>
  <si>
    <t xml:space="preserve">3163</t>
  </si>
  <si>
    <t xml:space="preserve">波若威</t>
  </si>
  <si>
    <t xml:space="preserve">光通訊元件</t>
  </si>
  <si>
    <t xml:space="preserve">4977</t>
  </si>
  <si>
    <r>
      <rPr>
        <sz val="10"/>
        <rFont val="Noto Sans CJK SC"/>
        <family val="2"/>
      </rPr>
      <t xml:space="preserve">眾達</t>
    </r>
    <r>
      <rPr>
        <sz val="10"/>
        <rFont val="Arial"/>
        <family val="0"/>
        <charset val="1"/>
      </rPr>
      <t xml:space="preserve">-KY</t>
    </r>
  </si>
  <si>
    <t xml:space="preserve">光模組</t>
  </si>
  <si>
    <t xml:space="preserve">6442</t>
  </si>
  <si>
    <t xml:space="preserve">光聖</t>
  </si>
  <si>
    <t xml:space="preserve">光纖連接產品</t>
  </si>
  <si>
    <t xml:space="preserve">3450</t>
  </si>
  <si>
    <t xml:space="preserve">聯鈞</t>
  </si>
  <si>
    <t xml:space="preserve">光通訊封裝</t>
  </si>
  <si>
    <t xml:space="preserve">4908</t>
  </si>
  <si>
    <t xml:space="preserve">前鼎</t>
  </si>
  <si>
    <t xml:space="preserve">3324</t>
  </si>
  <si>
    <t xml:space="preserve">雙鴻</t>
  </si>
  <si>
    <t xml:space="preserve">液冷散熱</t>
  </si>
  <si>
    <t xml:space="preserve">3653</t>
  </si>
  <si>
    <t xml:space="preserve">健策</t>
  </si>
  <si>
    <t xml:space="preserve">均熱片</t>
  </si>
  <si>
    <t xml:space="preserve">8996</t>
  </si>
  <si>
    <t xml:space="preserve">高力</t>
  </si>
  <si>
    <t xml:space="preserve">液冷熱交換</t>
  </si>
  <si>
    <t xml:space="preserve">2421</t>
  </si>
  <si>
    <t xml:space="preserve">建準</t>
  </si>
  <si>
    <t xml:space="preserve">散熱風扇</t>
  </si>
  <si>
    <t xml:space="preserve">3533</t>
  </si>
  <si>
    <t xml:space="preserve">嘉澤</t>
  </si>
  <si>
    <t xml:space="preserve">伺服器連接器</t>
  </si>
  <si>
    <t xml:space="preserve">3665</t>
  </si>
  <si>
    <r>
      <rPr>
        <sz val="10"/>
        <rFont val="Noto Sans CJK SC"/>
        <family val="2"/>
      </rPr>
      <t xml:space="preserve">貿聯</t>
    </r>
    <r>
      <rPr>
        <sz val="10"/>
        <rFont val="Arial"/>
        <family val="0"/>
        <charset val="1"/>
      </rPr>
      <t xml:space="preserve">-KY</t>
    </r>
  </si>
  <si>
    <t xml:space="preserve">高速線束</t>
  </si>
  <si>
    <t xml:space="preserve">2059</t>
  </si>
  <si>
    <t xml:space="preserve">川湖</t>
  </si>
  <si>
    <t xml:space="preserve">伺服器滑軌</t>
  </si>
  <si>
    <t xml:space="preserve">8210</t>
  </si>
  <si>
    <t xml:space="preserve">勤誠</t>
  </si>
  <si>
    <t xml:space="preserve">伺服器機殼</t>
  </si>
  <si>
    <t xml:space="preserve">2383</t>
  </si>
  <si>
    <t xml:space="preserve">台光電</t>
  </si>
  <si>
    <r>
      <rPr>
        <sz val="10"/>
        <rFont val="Noto Sans CJK SC"/>
        <family val="2"/>
      </rPr>
      <t xml:space="preserve">高階 </t>
    </r>
    <r>
      <rPr>
        <sz val="10"/>
        <rFont val="Arial"/>
        <family val="0"/>
        <charset val="1"/>
      </rPr>
      <t xml:space="preserve">CCL </t>
    </r>
    <r>
      <rPr>
        <sz val="10"/>
        <rFont val="Noto Sans CJK SC"/>
        <family val="2"/>
      </rPr>
      <t xml:space="preserve">龍頭</t>
    </r>
  </si>
  <si>
    <t xml:space="preserve">2368</t>
  </si>
  <si>
    <t xml:space="preserve">金像電</t>
  </si>
  <si>
    <r>
      <rPr>
        <sz val="10"/>
        <rFont val="Noto Sans CJK SC"/>
        <family val="2"/>
      </rPr>
      <t xml:space="preserve">伺服器 </t>
    </r>
    <r>
      <rPr>
        <sz val="10"/>
        <rFont val="Arial"/>
        <family val="0"/>
        <charset val="1"/>
      </rPr>
      <t xml:space="preserve">PCB</t>
    </r>
  </si>
  <si>
    <t xml:space="preserve">6274</t>
  </si>
  <si>
    <t xml:space="preserve">台燿</t>
  </si>
  <si>
    <r>
      <rPr>
        <sz val="10"/>
        <rFont val="Noto Sans CJK SC"/>
        <family val="2"/>
      </rPr>
      <t xml:space="preserve">高速 </t>
    </r>
    <r>
      <rPr>
        <sz val="10"/>
        <rFont val="Arial"/>
        <family val="0"/>
        <charset val="1"/>
      </rPr>
      <t xml:space="preserve">CCL</t>
    </r>
  </si>
  <si>
    <t xml:space="preserve">3037</t>
  </si>
  <si>
    <t xml:space="preserve">欣興</t>
  </si>
  <si>
    <r>
      <rPr>
        <sz val="10"/>
        <rFont val="Arial"/>
        <family val="0"/>
        <charset val="1"/>
      </rPr>
      <t xml:space="preserve">ABF </t>
    </r>
    <r>
      <rPr>
        <sz val="10"/>
        <rFont val="Noto Sans CJK SC"/>
        <family val="2"/>
      </rPr>
      <t xml:space="preserve">載板</t>
    </r>
  </si>
  <si>
    <t xml:space="preserve">8046</t>
  </si>
  <si>
    <t xml:space="preserve">南電</t>
  </si>
  <si>
    <t xml:space="preserve">4958</t>
  </si>
  <si>
    <r>
      <rPr>
        <sz val="10"/>
        <rFont val="Noto Sans CJK SC"/>
        <family val="2"/>
      </rPr>
      <t xml:space="preserve">臻鼎</t>
    </r>
    <r>
      <rPr>
        <sz val="10"/>
        <rFont val="Arial"/>
        <family val="0"/>
        <charset val="1"/>
      </rPr>
      <t xml:space="preserve">-KY</t>
    </r>
  </si>
  <si>
    <r>
      <rPr>
        <sz val="10"/>
        <rFont val="Arial"/>
        <family val="0"/>
        <charset val="1"/>
      </rPr>
      <t xml:space="preserve">PCB </t>
    </r>
    <r>
      <rPr>
        <sz val="10"/>
        <rFont val="Noto Sans CJK SC"/>
        <family val="2"/>
      </rPr>
      <t xml:space="preserve">龍頭</t>
    </r>
  </si>
  <si>
    <t xml:space="preserve">8021</t>
  </si>
  <si>
    <t xml:space="preserve">尖點</t>
  </si>
  <si>
    <r>
      <rPr>
        <sz val="10"/>
        <rFont val="Arial"/>
        <family val="0"/>
        <charset val="1"/>
      </rPr>
      <t xml:space="preserve">PCB </t>
    </r>
    <r>
      <rPr>
        <sz val="10"/>
        <rFont val="Noto Sans CJK SC"/>
        <family val="2"/>
      </rPr>
      <t xml:space="preserve">鑽針</t>
    </r>
  </si>
  <si>
    <t xml:space="preserve">VST</t>
  </si>
  <si>
    <t xml:space="preserve">Vistra</t>
  </si>
  <si>
    <t xml:space="preserve">電力</t>
  </si>
  <si>
    <r>
      <rPr>
        <sz val="10"/>
        <rFont val="Noto Sans CJK SC"/>
        <family val="2"/>
      </rPr>
      <t xml:space="preserve">發電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電力公司</t>
    </r>
  </si>
  <si>
    <t xml:space="preserve">發電，資料中心供電</t>
  </si>
  <si>
    <t xml:space="preserve">TLN</t>
  </si>
  <si>
    <t xml:space="preserve">Talen Energy</t>
  </si>
  <si>
    <t xml:space="preserve">核電供資料中心</t>
  </si>
  <si>
    <t xml:space="preserve">BE</t>
  </si>
  <si>
    <t xml:space="preserve">Bloom Energy</t>
  </si>
  <si>
    <t xml:space="preserve">燃料電池現場發電</t>
  </si>
  <si>
    <t xml:space="preserve">OKLO</t>
  </si>
  <si>
    <t xml:space="preserve">Oklo</t>
  </si>
  <si>
    <r>
      <rPr>
        <sz val="10"/>
        <rFont val="Noto Sans CJK SC"/>
        <family val="2"/>
      </rPr>
      <t xml:space="preserve">核能</t>
    </r>
    <r>
      <rPr>
        <sz val="10"/>
        <rFont val="Arial"/>
        <family val="0"/>
        <charset val="1"/>
      </rPr>
      <t xml:space="preserve">/SMR/</t>
    </r>
    <r>
      <rPr>
        <sz val="10"/>
        <rFont val="Noto Sans CJK SC"/>
        <family val="2"/>
      </rPr>
      <t xml:space="preserve">鈾</t>
    </r>
  </si>
  <si>
    <r>
      <rPr>
        <sz val="10"/>
        <rFont val="Arial"/>
        <family val="0"/>
        <charset val="1"/>
      </rPr>
      <t xml:space="preserve">SMR</t>
    </r>
    <r>
      <rPr>
        <sz val="10"/>
        <rFont val="Noto Sans CJK SC"/>
        <family val="2"/>
      </rPr>
      <t xml:space="preserve">，尚無營收，題材股</t>
    </r>
  </si>
  <si>
    <t xml:space="preserve">SMR</t>
  </si>
  <si>
    <t xml:space="preserve">NuScale</t>
  </si>
  <si>
    <r>
      <rPr>
        <sz val="10"/>
        <rFont val="Arial"/>
        <family val="0"/>
        <charset val="1"/>
      </rPr>
      <t xml:space="preserve">SMR</t>
    </r>
    <r>
      <rPr>
        <sz val="10"/>
        <rFont val="Noto Sans CJK SC"/>
        <family val="2"/>
      </rPr>
      <t xml:space="preserve">，題材股</t>
    </r>
  </si>
  <si>
    <t xml:space="preserve">BWXT</t>
  </si>
  <si>
    <t xml:space="preserve">BWX Tech</t>
  </si>
  <si>
    <r>
      <rPr>
        <sz val="10"/>
        <rFont val="Noto Sans CJK SC"/>
        <family val="2"/>
      </rPr>
      <t xml:space="preserve">核燃料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核反應爐零件</t>
    </r>
  </si>
  <si>
    <t xml:space="preserve">LEU</t>
  </si>
  <si>
    <t xml:space="preserve">Centrus</t>
  </si>
  <si>
    <t xml:space="preserve">高豐度低濃縮鈾</t>
  </si>
  <si>
    <t xml:space="preserve">POWL</t>
  </si>
  <si>
    <t xml:space="preserve">Powell</t>
  </si>
  <si>
    <r>
      <rPr>
        <sz val="10"/>
        <rFont val="Noto Sans CJK SC"/>
        <family val="2"/>
      </rPr>
      <t xml:space="preserve">電網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電氣設備</t>
    </r>
  </si>
  <si>
    <t xml:space="preserve">配電設備</t>
  </si>
  <si>
    <t xml:space="preserve">MYRG</t>
  </si>
  <si>
    <t xml:space="preserve">MYR Group</t>
  </si>
  <si>
    <t xml:space="preserve">電網工程</t>
  </si>
  <si>
    <t xml:space="preserve">FLNC</t>
  </si>
  <si>
    <t xml:space="preserve">Fluence</t>
  </si>
  <si>
    <t xml:space="preserve">儲能</t>
  </si>
  <si>
    <t xml:space="preserve">儲能系統</t>
  </si>
  <si>
    <t xml:space="preserve">1519</t>
  </si>
  <si>
    <t xml:space="preserve">華城</t>
  </si>
  <si>
    <r>
      <rPr>
        <sz val="10"/>
        <rFont val="Noto Sans CJK SC"/>
        <family val="2"/>
      </rPr>
      <t xml:space="preserve">重電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電網</t>
    </r>
  </si>
  <si>
    <t xml:space="preserve">變壓器，美國電網需求</t>
  </si>
  <si>
    <t xml:space="preserve">1503</t>
  </si>
  <si>
    <t xml:space="preserve">士電</t>
  </si>
  <si>
    <t xml:space="preserve">重電</t>
  </si>
  <si>
    <t xml:space="preserve">1513</t>
  </si>
  <si>
    <t xml:space="preserve">中興電</t>
  </si>
  <si>
    <r>
      <rPr>
        <sz val="10"/>
        <rFont val="Noto Sans CJK SC"/>
        <family val="2"/>
      </rPr>
      <t xml:space="preserve">重電</t>
    </r>
    <r>
      <rPr>
        <sz val="10"/>
        <rFont val="Arial"/>
        <family val="0"/>
        <charset val="1"/>
      </rPr>
      <t xml:space="preserve">/GIS</t>
    </r>
  </si>
  <si>
    <t xml:space="preserve">1514</t>
  </si>
  <si>
    <t xml:space="preserve">亞力</t>
  </si>
  <si>
    <t xml:space="preserve">SYM</t>
  </si>
  <si>
    <t xml:space="preserve">Symbotic</t>
  </si>
  <si>
    <t xml:space="preserve">機器人</t>
  </si>
  <si>
    <r>
      <rPr>
        <sz val="10"/>
        <rFont val="Noto Sans CJK SC"/>
        <family val="2"/>
      </rPr>
      <t xml:space="preserve">人形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自動化</t>
    </r>
  </si>
  <si>
    <t xml:space="preserve">倉儲自動化</t>
  </si>
  <si>
    <t xml:space="preserve">TER</t>
  </si>
  <si>
    <t xml:space="preserve">Teradyne</t>
  </si>
  <si>
    <t xml:space="preserve">協作機器人＋半導體測試</t>
  </si>
  <si>
    <t xml:space="preserve">2049</t>
  </si>
  <si>
    <t xml:space="preserve">上銀</t>
  </si>
  <si>
    <r>
      <rPr>
        <sz val="10"/>
        <rFont val="Noto Sans CJK SC"/>
        <family val="2"/>
      </rPr>
      <t xml:space="preserve">零組件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系統</t>
    </r>
  </si>
  <si>
    <r>
      <rPr>
        <sz val="10"/>
        <rFont val="Noto Sans CJK SC"/>
        <family val="2"/>
      </rPr>
      <t xml:space="preserve">滾珠螺桿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線性滑軌</t>
    </r>
  </si>
  <si>
    <t xml:space="preserve">1590</t>
  </si>
  <si>
    <r>
      <rPr>
        <sz val="10"/>
        <rFont val="Noto Sans CJK SC"/>
        <family val="2"/>
      </rPr>
      <t xml:space="preserve">亞德客</t>
    </r>
    <r>
      <rPr>
        <sz val="10"/>
        <rFont val="Arial"/>
        <family val="0"/>
        <charset val="1"/>
      </rPr>
      <t xml:space="preserve">-KY</t>
    </r>
  </si>
  <si>
    <t xml:space="preserve">氣動元件</t>
  </si>
  <si>
    <t xml:space="preserve">1597</t>
  </si>
  <si>
    <t xml:space="preserve">直得</t>
  </si>
  <si>
    <t xml:space="preserve">線性滑軌</t>
  </si>
  <si>
    <t xml:space="preserve">4576</t>
  </si>
  <si>
    <t xml:space="preserve">大銀微系統</t>
  </si>
  <si>
    <t xml:space="preserve">精密運動平台</t>
  </si>
  <si>
    <t xml:space="preserve">6215</t>
  </si>
  <si>
    <t xml:space="preserve">和椿</t>
  </si>
  <si>
    <t xml:space="preserve">自動化系統</t>
  </si>
  <si>
    <t xml:space="preserve">2464</t>
  </si>
  <si>
    <t xml:space="preserve">盟立</t>
  </si>
  <si>
    <t xml:space="preserve">自動化整合</t>
  </si>
  <si>
    <t xml:space="preserve">2359</t>
  </si>
  <si>
    <t xml:space="preserve">所羅門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</si>
  <si>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視覺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機器人</t>
    </r>
  </si>
  <si>
    <t xml:space="preserve">6188</t>
  </si>
  <si>
    <t xml:space="preserve">廣明</t>
  </si>
  <si>
    <r>
      <rPr>
        <sz val="10"/>
        <rFont val="Noto Sans CJK SC"/>
        <family val="2"/>
      </rPr>
      <t xml:space="preserve">機器人代理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製造</t>
    </r>
  </si>
  <si>
    <t xml:space="preserve">4562</t>
  </si>
  <si>
    <t xml:space="preserve">穎漢</t>
  </si>
  <si>
    <t xml:space="preserve">關節減速機</t>
  </si>
  <si>
    <t xml:space="preserve">VKTX</t>
  </si>
  <si>
    <t xml:space="preserve">Viking</t>
  </si>
  <si>
    <t xml:space="preserve">生技</t>
  </si>
  <si>
    <r>
      <rPr>
        <sz val="10"/>
        <rFont val="Noto Sans CJK SC"/>
        <family val="2"/>
      </rPr>
      <t xml:space="preserve">減重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代謝</t>
    </r>
  </si>
  <si>
    <t xml:space="preserve">減重新藥臨床</t>
  </si>
  <si>
    <t xml:space="preserve">SMMT</t>
  </si>
  <si>
    <t xml:space="preserve">Summit</t>
  </si>
  <si>
    <r>
      <rPr>
        <sz val="10"/>
        <rFont val="Noto Sans CJK SC"/>
        <family val="2"/>
      </rPr>
      <t xml:space="preserve">腫瘤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基因</t>
    </r>
  </si>
  <si>
    <r>
      <rPr>
        <sz val="10"/>
        <rFont val="Arial"/>
        <family val="0"/>
        <charset val="1"/>
      </rPr>
      <t xml:space="preserve">PD-1xVEGF </t>
    </r>
    <r>
      <rPr>
        <sz val="10"/>
        <rFont val="Noto Sans CJK SC"/>
        <family val="2"/>
      </rPr>
      <t xml:space="preserve">雙抗</t>
    </r>
  </si>
  <si>
    <t xml:space="preserve">CRSP</t>
  </si>
  <si>
    <t xml:space="preserve">CRISPR</t>
  </si>
  <si>
    <t xml:space="preserve">基因編輯</t>
  </si>
  <si>
    <t xml:space="preserve">BEAM</t>
  </si>
  <si>
    <t xml:space="preserve">Beam</t>
  </si>
  <si>
    <t xml:space="preserve">鹼基編輯</t>
  </si>
  <si>
    <t xml:space="preserve">ARGX</t>
  </si>
  <si>
    <t xml:space="preserve">argenx</t>
  </si>
  <si>
    <t xml:space="preserve">自體免疫</t>
  </si>
  <si>
    <t xml:space="preserve">TEM</t>
  </si>
  <si>
    <t xml:space="preserve">Tempus AI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</si>
  <si>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製藥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</si>
  <si>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精準醫療</t>
    </r>
  </si>
  <si>
    <t xml:space="preserve">6446</t>
  </si>
  <si>
    <t xml:space="preserve">藥華藥</t>
  </si>
  <si>
    <r>
      <rPr>
        <sz val="10"/>
        <rFont val="Noto Sans CJK SC"/>
        <family val="2"/>
      </rPr>
      <t xml:space="preserve">新藥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特色藥</t>
    </r>
  </si>
  <si>
    <t xml:space="preserve">罕病新藥已上市，營收成長</t>
  </si>
  <si>
    <t xml:space="preserve">6472</t>
  </si>
  <si>
    <t xml:space="preserve">保瑞</t>
  </si>
  <si>
    <r>
      <rPr>
        <sz val="10"/>
        <rFont val="Arial"/>
        <family val="0"/>
        <charset val="1"/>
      </rPr>
      <t xml:space="preserve">CDMO </t>
    </r>
    <r>
      <rPr>
        <sz val="10"/>
        <rFont val="Noto Sans CJK SC"/>
        <family val="2"/>
      </rPr>
      <t xml:space="preserve">併購成長</t>
    </r>
  </si>
  <si>
    <t xml:space="preserve">1795</t>
  </si>
  <si>
    <t xml:space="preserve">美時</t>
  </si>
  <si>
    <r>
      <rPr>
        <sz val="10"/>
        <rFont val="Noto Sans CJK SC"/>
        <family val="2"/>
      </rPr>
      <t xml:space="preserve">學名藥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特色藥</t>
    </r>
  </si>
  <si>
    <t xml:space="preserve">4743</t>
  </si>
  <si>
    <t xml:space="preserve">合一</t>
  </si>
  <si>
    <t xml:space="preserve">新藥授權</t>
  </si>
  <si>
    <t xml:space="preserve">1760</t>
  </si>
  <si>
    <t xml:space="preserve">寶齡富錦</t>
  </si>
  <si>
    <t xml:space="preserve">腎臟藥物</t>
  </si>
  <si>
    <t xml:space="preserve">6589</t>
  </si>
  <si>
    <t xml:space="preserve">台康生技</t>
  </si>
  <si>
    <r>
      <rPr>
        <sz val="10"/>
        <rFont val="Noto Sans CJK SC"/>
        <family val="2"/>
      </rPr>
      <t xml:space="preserve">生物相似藥 </t>
    </r>
    <r>
      <rPr>
        <sz val="10"/>
        <rFont val="Arial"/>
        <family val="0"/>
        <charset val="1"/>
      </rPr>
      <t xml:space="preserve">CDMO</t>
    </r>
  </si>
  <si>
    <t xml:space="preserve">IONQ</t>
  </si>
  <si>
    <t xml:space="preserve">IonQ</t>
  </si>
  <si>
    <t xml:space="preserve">其他新興（雷達）</t>
  </si>
  <si>
    <t xml:space="preserve">量子運算</t>
  </si>
  <si>
    <t xml:space="preserve">量子運算，題材股</t>
  </si>
  <si>
    <t xml:space="preserve">RKLB</t>
  </si>
  <si>
    <t xml:space="preserve">Rocket Lab</t>
  </si>
  <si>
    <t xml:space="preserve">太空</t>
  </si>
  <si>
    <t xml:space="preserve">發射＋太空系統</t>
  </si>
  <si>
    <t xml:space="preserve">ASTS</t>
  </si>
  <si>
    <t xml:space="preserve">AST SpaceMobile</t>
  </si>
  <si>
    <t xml:space="preserve">衛星直連手機</t>
  </si>
  <si>
    <t xml:space="preserve">MU</t>
  </si>
  <si>
    <t xml:space="preserve">美光</t>
  </si>
  <si>
    <t xml:space="preserve">指標</t>
  </si>
  <si>
    <t xml:space="preserve">這波已大漲成超大型股；記憶體週期最重要指標</t>
  </si>
  <si>
    <t xml:space="preserve">SNDK</t>
  </si>
  <si>
    <t xml:space="preserve">SanDisk</t>
  </si>
  <si>
    <r>
      <rPr>
        <sz val="10"/>
        <rFont val="Noto Sans CJK SC"/>
        <family val="2"/>
      </rPr>
      <t xml:space="preserve">已漲數十倍、規模變大；</t>
    </r>
    <r>
      <rPr>
        <sz val="10"/>
        <rFont val="Arial"/>
        <family val="0"/>
        <charset val="1"/>
      </rPr>
      <t xml:space="preserve">NAND </t>
    </r>
    <r>
      <rPr>
        <sz val="10"/>
        <rFont val="Noto Sans CJK SC"/>
        <family val="2"/>
      </rPr>
      <t xml:space="preserve">報價指標</t>
    </r>
  </si>
  <si>
    <t xml:space="preserve">WDC</t>
  </si>
  <si>
    <t xml:space="preserve">Western Digital</t>
  </si>
  <si>
    <t xml:space="preserve">已大漲；儲存需求指標</t>
  </si>
  <si>
    <t xml:space="preserve">STX</t>
  </si>
  <si>
    <t xml:space="preserve">Seagate</t>
  </si>
  <si>
    <t xml:space="preserve">NVDA</t>
  </si>
  <si>
    <t xml:space="preserve">輝達</t>
  </si>
  <si>
    <r>
      <rPr>
        <sz val="10"/>
        <rFont val="Noto Sans CJK SC"/>
        <family val="2"/>
      </rPr>
      <t xml:space="preserve">市值數兆美元，十倍不現實；當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需求溫度計</t>
    </r>
  </si>
  <si>
    <t xml:space="preserve">AVGO</t>
  </si>
  <si>
    <t xml:space="preserve">博通</t>
  </si>
  <si>
    <r>
      <rPr>
        <sz val="10"/>
        <rFont val="Noto Sans CJK SC"/>
        <family val="2"/>
      </rPr>
      <t xml:space="preserve">超大型股；當客製 </t>
    </r>
    <r>
      <rPr>
        <sz val="10"/>
        <rFont val="Arial"/>
        <family val="0"/>
        <charset val="1"/>
      </rPr>
      <t xml:space="preserve">ASIC </t>
    </r>
    <r>
      <rPr>
        <sz val="10"/>
        <rFont val="Noto Sans CJK SC"/>
        <family val="2"/>
      </rPr>
      <t xml:space="preserve">指標</t>
    </r>
  </si>
  <si>
    <t xml:space="preserve">AMD</t>
  </si>
  <si>
    <t xml:space="preserve">超微</t>
  </si>
  <si>
    <r>
      <rPr>
        <sz val="10"/>
        <rFont val="Noto Sans CJK SC"/>
        <family val="2"/>
      </rPr>
      <t xml:space="preserve">大型股；當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第二供應指標</t>
    </r>
  </si>
  <si>
    <t xml:space="preserve">TSM</t>
  </si>
  <si>
    <r>
      <rPr>
        <sz val="10"/>
        <rFont val="Noto Sans CJK SC"/>
        <family val="2"/>
      </rPr>
      <t xml:space="preserve">台積電 </t>
    </r>
    <r>
      <rPr>
        <sz val="10"/>
        <rFont val="Arial"/>
        <family val="0"/>
        <charset val="1"/>
      </rPr>
      <t xml:space="preserve">ADR</t>
    </r>
  </si>
  <si>
    <r>
      <rPr>
        <sz val="10"/>
        <rFont val="Noto Sans CJK SC"/>
        <family val="2"/>
      </rPr>
      <t xml:space="preserve">同 </t>
    </r>
    <r>
      <rPr>
        <sz val="10"/>
        <rFont val="Arial"/>
        <family val="0"/>
        <charset val="1"/>
      </rPr>
      <t xml:space="preserve">2330</t>
    </r>
  </si>
  <si>
    <t xml:space="preserve">ARM</t>
  </si>
  <si>
    <t xml:space="preserve">Arm</t>
  </si>
  <si>
    <r>
      <rPr>
        <sz val="10"/>
        <rFont val="Noto Sans CJK SC"/>
        <family val="2"/>
      </rPr>
      <t xml:space="preserve">大型股；當授權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邊緣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指標</t>
    </r>
  </si>
  <si>
    <t xml:space="preserve">ASML</t>
  </si>
  <si>
    <t xml:space="preserve">超大型；當設備景氣指標</t>
  </si>
  <si>
    <t xml:space="preserve">AMAT</t>
  </si>
  <si>
    <t xml:space="preserve">應用材料</t>
  </si>
  <si>
    <t xml:space="preserve">超大型；設備景氣指標</t>
  </si>
  <si>
    <t xml:space="preserve">LRCX</t>
  </si>
  <si>
    <t xml:space="preserve">科林研發</t>
  </si>
  <si>
    <t xml:space="preserve">大型；記憶體擴產指標</t>
  </si>
  <si>
    <t xml:space="preserve">KLAC</t>
  </si>
  <si>
    <t xml:space="preserve">科磊</t>
  </si>
  <si>
    <t xml:space="preserve">大型；設備指標</t>
  </si>
  <si>
    <t xml:space="preserve">2330</t>
  </si>
  <si>
    <t xml:space="preserve">台積電</t>
  </si>
  <si>
    <t xml:space="preserve">台股最大權值，十倍不現實；先進製程指標</t>
  </si>
  <si>
    <t xml:space="preserve">2454</t>
  </si>
  <si>
    <t xml:space="preserve">聯發科</t>
  </si>
  <si>
    <t xml:space="preserve">大型；指標</t>
  </si>
  <si>
    <t xml:space="preserve">3711</t>
  </si>
  <si>
    <t xml:space="preserve">日月光投控</t>
  </si>
  <si>
    <t xml:space="preserve">大型；封測指標</t>
  </si>
  <si>
    <t xml:space="preserve">DELL</t>
  </si>
  <si>
    <t xml:space="preserve">Dell</t>
  </si>
  <si>
    <t xml:space="preserve">大型；伺服器需求指標</t>
  </si>
  <si>
    <t xml:space="preserve">ANET</t>
  </si>
  <si>
    <t xml:space="preserve">Arista</t>
  </si>
  <si>
    <t xml:space="preserve">大型；網通資本支出指標</t>
  </si>
  <si>
    <t xml:space="preserve">CRWV</t>
  </si>
  <si>
    <t xml:space="preserve">CoreWeave</t>
  </si>
  <si>
    <r>
      <rPr>
        <sz val="10"/>
        <rFont val="Noto Sans CJK SC"/>
        <family val="2"/>
      </rPr>
      <t xml:space="preserve">高負債、資產成長遠超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（研究紅旗）；當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雲需求指標</t>
    </r>
  </si>
  <si>
    <t xml:space="preserve">2317</t>
  </si>
  <si>
    <t xml:space="preserve">鴻海</t>
  </si>
  <si>
    <r>
      <rPr>
        <sz val="10"/>
        <rFont val="Noto Sans CJK SC"/>
        <family val="2"/>
      </rPr>
      <t xml:space="preserve">超大型；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伺服器組裝指標</t>
    </r>
  </si>
  <si>
    <t xml:space="preserve">2382</t>
  </si>
  <si>
    <t xml:space="preserve">廣達</t>
  </si>
  <si>
    <t xml:space="preserve">大型；伺服器指標</t>
  </si>
  <si>
    <t xml:space="preserve">3231</t>
  </si>
  <si>
    <t xml:space="preserve">緯創</t>
  </si>
  <si>
    <t xml:space="preserve">大型低毛利；伺服器指標</t>
  </si>
  <si>
    <t xml:space="preserve">6669</t>
  </si>
  <si>
    <t xml:space="preserve">緯穎</t>
  </si>
  <si>
    <t xml:space="preserve">大型；雲端伺服器指標</t>
  </si>
  <si>
    <t xml:space="preserve">3017</t>
  </si>
  <si>
    <t xml:space="preserve">奇鋐</t>
  </si>
  <si>
    <t xml:space="preserve">已成大型；散熱指標</t>
  </si>
  <si>
    <t xml:space="preserve">2308</t>
  </si>
  <si>
    <t xml:space="preserve">台達電</t>
  </si>
  <si>
    <r>
      <rPr>
        <sz val="10"/>
        <rFont val="Noto Sans CJK SC"/>
        <family val="2"/>
      </rPr>
      <t xml:space="preserve">超大型；電源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液冷指標</t>
    </r>
  </si>
  <si>
    <t xml:space="preserve">CEG</t>
  </si>
  <si>
    <t xml:space="preserve">Constellation</t>
  </si>
  <si>
    <r>
      <rPr>
        <sz val="10"/>
        <rFont val="Noto Sans CJK SC"/>
        <family val="2"/>
      </rPr>
      <t xml:space="preserve">大型；核電供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指標</t>
    </r>
  </si>
  <si>
    <t xml:space="preserve">GEV</t>
  </si>
  <si>
    <t xml:space="preserve">GE Vernova</t>
  </si>
  <si>
    <t xml:space="preserve">大型；電力設備指標</t>
  </si>
  <si>
    <t xml:space="preserve">CCJ</t>
  </si>
  <si>
    <t xml:space="preserve">Cameco</t>
  </si>
  <si>
    <t xml:space="preserve">大型；鈾價指標</t>
  </si>
  <si>
    <t xml:space="preserve">ETN</t>
  </si>
  <si>
    <t xml:space="preserve">Eaton</t>
  </si>
  <si>
    <t xml:space="preserve">大型成熟；電氣設備指標</t>
  </si>
  <si>
    <t xml:space="preserve">PWR</t>
  </si>
  <si>
    <t xml:space="preserve">Quanta</t>
  </si>
  <si>
    <t xml:space="preserve">大型；電網工程指標</t>
  </si>
  <si>
    <t xml:space="preserve">TSLA</t>
  </si>
  <si>
    <t xml:space="preserve">特斯拉</t>
  </si>
  <si>
    <t xml:space="preserve">超大型；當人形機器人題材指標</t>
  </si>
  <si>
    <t xml:space="preserve">ISRG</t>
  </si>
  <si>
    <t xml:space="preserve">Intuitive Surgical</t>
  </si>
  <si>
    <t xml:space="preserve">大型成熟；醫療機器人指標</t>
  </si>
  <si>
    <t xml:space="preserve">LLY</t>
  </si>
  <si>
    <t xml:space="preserve">禮來</t>
  </si>
  <si>
    <t xml:space="preserve">超大型；減重藥指標</t>
  </si>
  <si>
    <r>
      <rPr>
        <b val="true"/>
        <sz val="11"/>
        <color rgb="FFFFFFFF"/>
        <rFont val="Noto Sans CJK SC"/>
        <family val="2"/>
      </rPr>
      <t xml:space="preserve">候選</t>
    </r>
    <r>
      <rPr>
        <b val="true"/>
        <sz val="11"/>
        <color rgb="FFFFFFFF"/>
        <rFont val="Arial"/>
        <family val="0"/>
        <charset val="1"/>
      </rPr>
      <t xml:space="preserve">-</t>
    </r>
    <r>
      <rPr>
        <b val="true"/>
        <sz val="11"/>
        <color rgb="FFFFFFFF"/>
        <rFont val="Noto Sans CJK SC"/>
        <family val="2"/>
      </rPr>
      <t xml:space="preserve">美股</t>
    </r>
  </si>
  <si>
    <r>
      <rPr>
        <b val="true"/>
        <sz val="11"/>
        <color rgb="FFFFFFFF"/>
        <rFont val="Noto Sans CJK SC"/>
        <family val="2"/>
      </rPr>
      <t xml:space="preserve">候選</t>
    </r>
    <r>
      <rPr>
        <b val="true"/>
        <sz val="11"/>
        <color rgb="FFFFFFFF"/>
        <rFont val="Arial"/>
        <family val="0"/>
        <charset val="1"/>
      </rPr>
      <t xml:space="preserve">-</t>
    </r>
    <r>
      <rPr>
        <b val="true"/>
        <sz val="11"/>
        <color rgb="FFFFFFFF"/>
        <rFont val="Noto Sans CJK SC"/>
        <family val="2"/>
      </rPr>
      <t xml:space="preserve">台股</t>
    </r>
  </si>
  <si>
    <t xml:space="preserve">候選合計</t>
  </si>
  <si>
    <t xml:space="preserve">其中小型潛力</t>
  </si>
  <si>
    <t xml:space="preserve">指標股</t>
  </si>
  <si>
    <t xml:space="preserve">合計</t>
  </si>
  <si>
    <t xml:space="preserve">刪除原因</t>
  </si>
  <si>
    <t xml:space="preserve">8271</t>
  </si>
  <si>
    <t xml:space="preserve">宇瞻</t>
  </si>
  <si>
    <t xml:space="preserve">純模組廠，只有週期沒有結構成長</t>
  </si>
  <si>
    <t xml:space="preserve">2451</t>
  </si>
  <si>
    <t xml:space="preserve">創見</t>
  </si>
  <si>
    <t xml:space="preserve">成熟模組廠、成長性低，十倍機率極低</t>
  </si>
  <si>
    <t xml:space="preserve">5351</t>
  </si>
  <si>
    <t xml:space="preserve">鈺創</t>
  </si>
  <si>
    <t xml:space="preserve">基本面長期疲弱</t>
  </si>
  <si>
    <t xml:space="preserve">6770</t>
  </si>
  <si>
    <t xml:space="preserve">力積電</t>
  </si>
  <si>
    <t xml:space="preserve">長期虧損、成熟製程受中國競爭壓價</t>
  </si>
  <si>
    <t xml:space="preserve">ACMR</t>
  </si>
  <si>
    <t xml:space="preserve">盛美</t>
  </si>
  <si>
    <t xml:space="preserve">中國曝險與監管風險高</t>
  </si>
  <si>
    <t xml:space="preserve">KLIC</t>
  </si>
  <si>
    <t xml:space="preserve">庫力索法</t>
  </si>
  <si>
    <t xml:space="preserve">成熟週期設備</t>
  </si>
  <si>
    <t xml:space="preserve">ICHR</t>
  </si>
  <si>
    <t xml:space="preserve">Ichor</t>
  </si>
  <si>
    <t xml:space="preserve">毛利低、客戶集中</t>
  </si>
  <si>
    <t xml:space="preserve">6196</t>
  </si>
  <si>
    <t xml:space="preserve">帆宣</t>
  </si>
  <si>
    <t xml:space="preserve">工程承攬、毛利低、成長靠單一客戶資本支出</t>
  </si>
  <si>
    <t xml:space="preserve">SMCI</t>
  </si>
  <si>
    <t xml:space="preserve">美超微</t>
  </si>
  <si>
    <r>
      <rPr>
        <sz val="10"/>
        <rFont val="Noto Sans CJK SC"/>
        <family val="2"/>
      </rPr>
      <t xml:space="preserve">財報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治理疑慮、毛利被壓縮</t>
    </r>
  </si>
  <si>
    <t xml:space="preserve">2356</t>
  </si>
  <si>
    <t xml:space="preserve">英業達</t>
  </si>
  <si>
    <t xml:space="preserve">低毛利組裝廠</t>
  </si>
  <si>
    <t xml:space="preserve">2376</t>
  </si>
  <si>
    <t xml:space="preserve">技嘉</t>
  </si>
  <si>
    <t xml:space="preserve">低毛利、題材性為主</t>
  </si>
  <si>
    <t xml:space="preserve">2301</t>
  </si>
  <si>
    <t xml:space="preserve">光寶科</t>
  </si>
  <si>
    <t xml:space="preserve">成熟電源廠，成長有限</t>
  </si>
  <si>
    <t xml:space="preserve">3189</t>
  </si>
  <si>
    <t xml:space="preserve">景碩</t>
  </si>
  <si>
    <t xml:space="preserve">同業中競爭力較弱</t>
  </si>
  <si>
    <t xml:space="preserve">6213</t>
  </si>
  <si>
    <t xml:space="preserve">聯茂</t>
  </si>
  <si>
    <r>
      <rPr>
        <sz val="10"/>
        <rFont val="Noto Sans CJK SC"/>
        <family val="2"/>
      </rPr>
      <t xml:space="preserve">二線 </t>
    </r>
    <r>
      <rPr>
        <sz val="10"/>
        <rFont val="Arial"/>
        <family val="0"/>
        <charset val="1"/>
      </rPr>
      <t xml:space="preserve">CCL</t>
    </r>
    <r>
      <rPr>
        <sz val="10"/>
        <rFont val="Noto Sans CJK SC"/>
        <family val="2"/>
      </rPr>
      <t xml:space="preserve">，彈性與獲利不如台光電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台燿</t>
    </r>
  </si>
  <si>
    <t xml:space="preserve">CIFR</t>
  </si>
  <si>
    <t xml:space="preserve">Cipher Mining</t>
  </si>
  <si>
    <r>
      <rPr>
        <sz val="10"/>
        <rFont val="Noto Sans CJK SC"/>
        <family val="2"/>
      </rPr>
      <t xml:space="preserve">礦機轉型、資本支出遠超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（研究紅旗），保留執行力較好的 </t>
    </r>
    <r>
      <rPr>
        <sz val="10"/>
        <rFont val="Arial"/>
        <family val="0"/>
        <charset val="1"/>
      </rPr>
      <t xml:space="preserve">IREN/APLD</t>
    </r>
  </si>
  <si>
    <t xml:space="preserve">WULF</t>
  </si>
  <si>
    <t xml:space="preserve">TeraWulf</t>
  </si>
  <si>
    <t xml:space="preserve">同上</t>
  </si>
  <si>
    <t xml:space="preserve">NRG</t>
  </si>
  <si>
    <t xml:space="preserve">成熟發電公司</t>
  </si>
  <si>
    <t xml:space="preserve">NNE</t>
  </si>
  <si>
    <t xml:space="preserve">Nano Nuclear</t>
  </si>
  <si>
    <t xml:space="preserve">尚無產品與營收</t>
  </si>
  <si>
    <t xml:space="preserve">UEC</t>
  </si>
  <si>
    <t xml:space="preserve">Uranium Energy</t>
  </si>
  <si>
    <r>
      <rPr>
        <sz val="10"/>
        <rFont val="Noto Sans CJK SC"/>
        <family val="2"/>
      </rPr>
      <t xml:space="preserve">未穩定獲利，鈾價槓桿以 </t>
    </r>
    <r>
      <rPr>
        <sz val="10"/>
        <rFont val="Arial"/>
        <family val="0"/>
        <charset val="1"/>
      </rPr>
      <t xml:space="preserve">CCJ/LEU </t>
    </r>
    <r>
      <rPr>
        <sz val="10"/>
        <rFont val="Noto Sans CJK SC"/>
        <family val="2"/>
      </rPr>
      <t xml:space="preserve">代表即可</t>
    </r>
  </si>
  <si>
    <t xml:space="preserve">HUBB</t>
  </si>
  <si>
    <t xml:space="preserve">Hubbell</t>
  </si>
  <si>
    <t xml:space="preserve">大型成熟、成長溫和</t>
  </si>
  <si>
    <t xml:space="preserve">EOSE</t>
  </si>
  <si>
    <t xml:space="preserve">Eos Energy</t>
  </si>
  <si>
    <t xml:space="preserve">大量燒錢、持續增資稀釋</t>
  </si>
  <si>
    <t xml:space="preserve">1504</t>
  </si>
  <si>
    <t xml:space="preserve">東元</t>
  </si>
  <si>
    <t xml:space="preserve">成長緩慢的綜合型電機廠</t>
  </si>
  <si>
    <t xml:space="preserve">2371</t>
  </si>
  <si>
    <t xml:space="preserve">大同</t>
  </si>
  <si>
    <t xml:space="preserve">集團治理問題、轉型不明</t>
  </si>
  <si>
    <t xml:space="preserve">SERV</t>
  </si>
  <si>
    <t xml:space="preserve">Serve Robotics</t>
  </si>
  <si>
    <t xml:space="preserve">未驗證商業模式、稀釋嚴重</t>
  </si>
  <si>
    <t xml:space="preserve">RR</t>
  </si>
  <si>
    <t xml:space="preserve">Richtech Robotics</t>
  </si>
  <si>
    <t xml:space="preserve">營收極小、增資頻繁</t>
  </si>
  <si>
    <t xml:space="preserve">NVO</t>
  </si>
  <si>
    <t xml:space="preserve">諾和諾德</t>
  </si>
  <si>
    <r>
      <rPr>
        <sz val="10"/>
        <rFont val="Arial"/>
        <family val="0"/>
        <charset val="1"/>
      </rPr>
      <t xml:space="preserve">GLP-1 </t>
    </r>
    <r>
      <rPr>
        <sz val="10"/>
        <rFont val="Noto Sans CJK SC"/>
        <family val="2"/>
      </rPr>
      <t xml:space="preserve">市占流失、趨勢轉弱，且已是大型股</t>
    </r>
  </si>
  <si>
    <t xml:space="preserve">NTLA</t>
  </si>
  <si>
    <t xml:space="preserve">Intellia</t>
  </si>
  <si>
    <t xml:space="preserve">主力療法臨床出現安全性問題</t>
  </si>
  <si>
    <t xml:space="preserve">RXRX</t>
  </si>
  <si>
    <t xml:space="preserve">Recursion</t>
  </si>
  <si>
    <t xml:space="preserve">燒錢、臨床多次未達標</t>
  </si>
  <si>
    <t xml:space="preserve">SDGR</t>
  </si>
  <si>
    <t xml:space="preserve">Schrödinger</t>
  </si>
  <si>
    <t xml:space="preserve">成長緩慢、轉型未見成效</t>
  </si>
  <si>
    <t xml:space="preserve">6550</t>
  </si>
  <si>
    <r>
      <rPr>
        <sz val="10"/>
        <rFont val="Noto Sans CJK SC"/>
        <family val="2"/>
      </rPr>
      <t xml:space="preserve">北極星藥業</t>
    </r>
    <r>
      <rPr>
        <sz val="10"/>
        <rFont val="Arial"/>
        <family val="0"/>
        <charset val="1"/>
      </rPr>
      <t xml:space="preserve">-KY</t>
    </r>
  </si>
  <si>
    <t xml:space="preserve">新藥商業化前景弱、歷史多次失利</t>
  </si>
  <si>
    <t xml:space="preserve">4147</t>
  </si>
  <si>
    <t xml:space="preserve">中裕</t>
  </si>
  <si>
    <t xml:space="preserve">多年銷售成長不如預期</t>
  </si>
  <si>
    <t xml:space="preserve">RGTI</t>
  </si>
  <si>
    <t xml:space="preserve">Rigetti</t>
  </si>
  <si>
    <r>
      <rPr>
        <sz val="10"/>
        <rFont val="Noto Sans CJK SC"/>
        <family val="2"/>
      </rPr>
      <t xml:space="preserve">營收極小、估值與稀釋都極端（保留 </t>
    </r>
    <r>
      <rPr>
        <sz val="10"/>
        <rFont val="Arial"/>
        <family val="0"/>
        <charset val="1"/>
      </rPr>
      <t xml:space="preserve">IONQ </t>
    </r>
    <r>
      <rPr>
        <sz val="10"/>
        <rFont val="Noto Sans CJK SC"/>
        <family val="2"/>
      </rPr>
      <t xml:space="preserve">當量子代表）</t>
    </r>
  </si>
  <si>
    <t xml:space="preserve">QBTS</t>
  </si>
  <si>
    <t xml:space="preserve">D-Wave</t>
  </si>
  <si>
    <r>
      <rPr>
        <b val="true"/>
        <sz val="12"/>
        <rFont val="Noto Sans CJK SC"/>
        <family val="2"/>
      </rPr>
      <t xml:space="preserve">篩選邏輯（</t>
    </r>
    <r>
      <rPr>
        <b val="true"/>
        <sz val="12"/>
        <rFont val="Arial"/>
        <family val="0"/>
        <charset val="1"/>
      </rPr>
      <t xml:space="preserve">v2</t>
    </r>
    <r>
      <rPr>
        <b val="true"/>
        <sz val="12"/>
        <rFont val="Noto Sans CJK SC"/>
        <family val="2"/>
      </rPr>
      <t xml:space="preserve">）</t>
    </r>
  </si>
  <si>
    <t xml:space="preserve">真正拿來評分、找十倍股的標的</t>
  </si>
  <si>
    <t xml:space="preserve">市值太大、十倍幾乎不可能，但它們發動代表產業啟動，用來觸發『產業鏈擴散』掃描二線小型股</t>
  </si>
  <si>
    <t xml:space="preserve">刪除</t>
  </si>
  <si>
    <t xml:space="preserve">有明顯紅旗：長期虧損、嚴重稀釋、治理疑慮、成長停滯、資產擴張遠快於獲利（研究中的負面指標）。原因見『刪除紀錄』，日後條件改善可加回</t>
  </si>
  <si>
    <t xml:space="preserve">重要</t>
  </si>
  <si>
    <t xml:space="preserve">這是依產業地位與已知基本面的質化判斷，不是計算出來的機率；真正的機率分數由追蹤器用即時資料計算</t>
  </si>
  <si>
    <r>
      <rPr>
        <sz val="10"/>
        <rFont val="Noto Sans CJK SC"/>
        <family val="2"/>
      </rPr>
      <t xml:space="preserve">判斷基於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年中以前的資訊，之後的新發展可能沒反映到</t>
    </r>
  </si>
  <si>
    <r>
      <rPr>
        <b val="true"/>
        <sz val="10"/>
        <rFont val="Noto Sans CJK SC"/>
        <family val="2"/>
      </rPr>
      <t xml:space="preserve">保留</t>
    </r>
    <r>
      <rPr>
        <b val="true"/>
        <sz val="10"/>
        <rFont val="Arial"/>
        <family val="0"/>
        <charset val="1"/>
      </rPr>
      <t xml:space="preserve">(Y/N)</t>
    </r>
  </si>
  <si>
    <r>
      <rPr>
        <sz val="10"/>
        <rFont val="Noto Sans CJK SC"/>
        <family val="2"/>
      </rPr>
      <t xml:space="preserve">黃底欄位，改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即不追蹤</t>
    </r>
  </si>
  <si>
    <t xml:space="preserve">注意</t>
  </si>
  <si>
    <t xml:space="preserve">這是追蹤池，不是買進建議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</si>
</sst>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0"/>
      <name val="Noto Sans CJK SC"/>
      <family val="2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Noto Sans CJK SC"/>
      <family val="2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C6EFCE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EDEDED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46"/>
    <col collapsed="false" customWidth="true" hidden="false" outlineLevel="0" max="10" min="10" style="0" width="10"/>
  </cols>
  <sheetData>
    <row r="1" customFormat="false" ht="17.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2" t="s">
        <v>10</v>
      </c>
      <c r="B2" s="3" t="s">
        <v>11</v>
      </c>
      <c r="C2" s="4" t="s">
        <v>12</v>
      </c>
      <c r="D2" s="2" t="s">
        <v>13</v>
      </c>
      <c r="E2" s="2" t="s">
        <v>14</v>
      </c>
      <c r="F2" s="5" t="s">
        <v>15</v>
      </c>
      <c r="G2" s="6" t="s">
        <v>16</v>
      </c>
      <c r="H2" s="2" t="s">
        <v>17</v>
      </c>
      <c r="I2" s="2" t="s">
        <v>18</v>
      </c>
      <c r="J2" s="7" t="s">
        <v>19</v>
      </c>
    </row>
    <row r="3" customFormat="false" ht="15" hidden="false" customHeight="false" outlineLevel="0" collapsed="false">
      <c r="A3" s="2" t="s">
        <v>10</v>
      </c>
      <c r="B3" s="3" t="s">
        <v>20</v>
      </c>
      <c r="C3" s="4" t="s">
        <v>21</v>
      </c>
      <c r="D3" s="2" t="s">
        <v>13</v>
      </c>
      <c r="E3" s="2" t="s">
        <v>14</v>
      </c>
      <c r="F3" s="5" t="s">
        <v>15</v>
      </c>
      <c r="G3" s="6" t="s">
        <v>16</v>
      </c>
      <c r="H3" s="2" t="s">
        <v>17</v>
      </c>
      <c r="I3" s="4" t="s">
        <v>22</v>
      </c>
      <c r="J3" s="7" t="s">
        <v>19</v>
      </c>
    </row>
    <row r="4" customFormat="false" ht="15" hidden="false" customHeight="false" outlineLevel="0" collapsed="false">
      <c r="A4" s="2" t="s">
        <v>10</v>
      </c>
      <c r="B4" s="3" t="s">
        <v>23</v>
      </c>
      <c r="C4" s="4" t="s">
        <v>24</v>
      </c>
      <c r="D4" s="2" t="s">
        <v>13</v>
      </c>
      <c r="E4" s="2" t="s">
        <v>14</v>
      </c>
      <c r="F4" s="5" t="s">
        <v>15</v>
      </c>
      <c r="G4" s="6" t="s">
        <v>16</v>
      </c>
      <c r="H4" s="2" t="s">
        <v>17</v>
      </c>
      <c r="I4" s="2" t="s">
        <v>25</v>
      </c>
      <c r="J4" s="7" t="s">
        <v>19</v>
      </c>
    </row>
    <row r="5" customFormat="false" ht="15" hidden="false" customHeight="false" outlineLevel="0" collapsed="false">
      <c r="A5" s="2" t="s">
        <v>10</v>
      </c>
      <c r="B5" s="3" t="s">
        <v>26</v>
      </c>
      <c r="C5" s="4" t="s">
        <v>27</v>
      </c>
      <c r="D5" s="2" t="s">
        <v>13</v>
      </c>
      <c r="E5" s="2" t="s">
        <v>28</v>
      </c>
      <c r="F5" s="5" t="s">
        <v>15</v>
      </c>
      <c r="G5" s="6" t="s">
        <v>16</v>
      </c>
      <c r="H5" s="2" t="s">
        <v>17</v>
      </c>
      <c r="I5" s="2" t="s">
        <v>29</v>
      </c>
      <c r="J5" s="7" t="s">
        <v>19</v>
      </c>
    </row>
    <row r="6" customFormat="false" ht="15" hidden="false" customHeight="false" outlineLevel="0" collapsed="false">
      <c r="A6" s="2" t="s">
        <v>10</v>
      </c>
      <c r="B6" s="3" t="s">
        <v>30</v>
      </c>
      <c r="C6" s="4" t="s">
        <v>31</v>
      </c>
      <c r="D6" s="2" t="s">
        <v>13</v>
      </c>
      <c r="E6" s="2" t="s">
        <v>28</v>
      </c>
      <c r="F6" s="5" t="s">
        <v>15</v>
      </c>
      <c r="G6" s="6" t="s">
        <v>16</v>
      </c>
      <c r="H6" s="2" t="s">
        <v>17</v>
      </c>
      <c r="I6" s="4" t="s">
        <v>32</v>
      </c>
      <c r="J6" s="7" t="s">
        <v>19</v>
      </c>
    </row>
    <row r="7" customFormat="false" ht="15" hidden="false" customHeight="false" outlineLevel="0" collapsed="false">
      <c r="A7" s="2" t="s">
        <v>10</v>
      </c>
      <c r="B7" s="3" t="s">
        <v>33</v>
      </c>
      <c r="C7" s="4" t="s">
        <v>34</v>
      </c>
      <c r="D7" s="2" t="s">
        <v>13</v>
      </c>
      <c r="E7" s="2" t="s">
        <v>28</v>
      </c>
      <c r="F7" s="5" t="s">
        <v>15</v>
      </c>
      <c r="G7" s="6" t="s">
        <v>16</v>
      </c>
      <c r="H7" s="2" t="s">
        <v>17</v>
      </c>
      <c r="I7" s="2" t="s">
        <v>35</v>
      </c>
      <c r="J7" s="7" t="s">
        <v>19</v>
      </c>
    </row>
    <row r="8" customFormat="false" ht="15" hidden="false" customHeight="false" outlineLevel="0" collapsed="false">
      <c r="A8" s="2" t="s">
        <v>10</v>
      </c>
      <c r="B8" s="3" t="s">
        <v>36</v>
      </c>
      <c r="C8" s="4" t="s">
        <v>37</v>
      </c>
      <c r="D8" s="2" t="s">
        <v>13</v>
      </c>
      <c r="E8" s="2" t="s">
        <v>28</v>
      </c>
      <c r="F8" s="8" t="s">
        <v>38</v>
      </c>
      <c r="G8" s="6" t="s">
        <v>16</v>
      </c>
      <c r="H8" s="2" t="s">
        <v>17</v>
      </c>
      <c r="I8" s="2" t="s">
        <v>39</v>
      </c>
      <c r="J8" s="7" t="s">
        <v>19</v>
      </c>
    </row>
    <row r="9" customFormat="false" ht="15" hidden="false" customHeight="false" outlineLevel="0" collapsed="false">
      <c r="A9" s="2" t="s">
        <v>10</v>
      </c>
      <c r="B9" s="3" t="s">
        <v>40</v>
      </c>
      <c r="C9" s="4" t="s">
        <v>41</v>
      </c>
      <c r="D9" s="2" t="s">
        <v>13</v>
      </c>
      <c r="E9" s="2" t="s">
        <v>28</v>
      </c>
      <c r="F9" s="5" t="s">
        <v>15</v>
      </c>
      <c r="G9" s="6" t="s">
        <v>16</v>
      </c>
      <c r="H9" s="2" t="s">
        <v>17</v>
      </c>
      <c r="I9" s="2" t="s">
        <v>42</v>
      </c>
      <c r="J9" s="7" t="s">
        <v>19</v>
      </c>
    </row>
    <row r="10" customFormat="false" ht="15" hidden="false" customHeight="false" outlineLevel="0" collapsed="false">
      <c r="A10" s="2" t="s">
        <v>10</v>
      </c>
      <c r="B10" s="3" t="s">
        <v>43</v>
      </c>
      <c r="C10" s="4" t="s">
        <v>44</v>
      </c>
      <c r="D10" s="2" t="s">
        <v>13</v>
      </c>
      <c r="E10" s="2" t="s">
        <v>28</v>
      </c>
      <c r="F10" s="8" t="s">
        <v>38</v>
      </c>
      <c r="G10" s="6" t="s">
        <v>16</v>
      </c>
      <c r="H10" s="2" t="s">
        <v>17</v>
      </c>
      <c r="I10" s="2" t="s">
        <v>45</v>
      </c>
      <c r="J10" s="7" t="s">
        <v>19</v>
      </c>
    </row>
    <row r="11" customFormat="false" ht="15" hidden="false" customHeight="false" outlineLevel="0" collapsed="false">
      <c r="A11" s="2" t="s">
        <v>10</v>
      </c>
      <c r="B11" s="3" t="s">
        <v>46</v>
      </c>
      <c r="C11" s="4" t="s">
        <v>47</v>
      </c>
      <c r="D11" s="2" t="s">
        <v>13</v>
      </c>
      <c r="E11" s="2" t="s">
        <v>48</v>
      </c>
      <c r="F11" s="5" t="s">
        <v>15</v>
      </c>
      <c r="G11" s="6" t="s">
        <v>16</v>
      </c>
      <c r="H11" s="2" t="s">
        <v>17</v>
      </c>
      <c r="I11" s="2" t="s">
        <v>49</v>
      </c>
      <c r="J11" s="7" t="s">
        <v>19</v>
      </c>
    </row>
    <row r="12" customFormat="false" ht="15" hidden="false" customHeight="false" outlineLevel="0" collapsed="false">
      <c r="A12" s="2" t="s">
        <v>50</v>
      </c>
      <c r="B12" s="3" t="s">
        <v>51</v>
      </c>
      <c r="C12" s="2" t="s">
        <v>52</v>
      </c>
      <c r="D12" s="2" t="s">
        <v>13</v>
      </c>
      <c r="E12" s="2" t="s">
        <v>53</v>
      </c>
      <c r="F12" s="9" t="s">
        <v>54</v>
      </c>
      <c r="G12" s="6" t="s">
        <v>16</v>
      </c>
      <c r="H12" s="2" t="s">
        <v>17</v>
      </c>
      <c r="I12" s="2" t="s">
        <v>55</v>
      </c>
      <c r="J12" s="7" t="s">
        <v>19</v>
      </c>
    </row>
    <row r="13" customFormat="false" ht="15" hidden="false" customHeight="false" outlineLevel="0" collapsed="false">
      <c r="A13" s="2" t="s">
        <v>50</v>
      </c>
      <c r="B13" s="3" t="s">
        <v>56</v>
      </c>
      <c r="C13" s="2" t="s">
        <v>57</v>
      </c>
      <c r="D13" s="2" t="s">
        <v>13</v>
      </c>
      <c r="E13" s="2" t="s">
        <v>53</v>
      </c>
      <c r="F13" s="9" t="s">
        <v>54</v>
      </c>
      <c r="G13" s="6" t="s">
        <v>16</v>
      </c>
      <c r="H13" s="2" t="s">
        <v>17</v>
      </c>
      <c r="I13" s="2" t="s">
        <v>58</v>
      </c>
      <c r="J13" s="7" t="s">
        <v>19</v>
      </c>
    </row>
    <row r="14" customFormat="false" ht="15" hidden="false" customHeight="false" outlineLevel="0" collapsed="false">
      <c r="A14" s="2" t="s">
        <v>50</v>
      </c>
      <c r="B14" s="3" t="s">
        <v>59</v>
      </c>
      <c r="C14" s="2" t="s">
        <v>60</v>
      </c>
      <c r="D14" s="2" t="s">
        <v>13</v>
      </c>
      <c r="E14" s="2" t="s">
        <v>53</v>
      </c>
      <c r="F14" s="5" t="s">
        <v>15</v>
      </c>
      <c r="G14" s="6" t="s">
        <v>16</v>
      </c>
      <c r="H14" s="2" t="s">
        <v>17</v>
      </c>
      <c r="I14" s="4" t="s">
        <v>61</v>
      </c>
      <c r="J14" s="7" t="s">
        <v>19</v>
      </c>
    </row>
    <row r="15" customFormat="false" ht="15" hidden="false" customHeight="false" outlineLevel="0" collapsed="false">
      <c r="A15" s="2" t="s">
        <v>50</v>
      </c>
      <c r="B15" s="3" t="s">
        <v>62</v>
      </c>
      <c r="C15" s="2" t="s">
        <v>63</v>
      </c>
      <c r="D15" s="2" t="s">
        <v>13</v>
      </c>
      <c r="E15" s="2" t="s">
        <v>53</v>
      </c>
      <c r="F15" s="9" t="s">
        <v>54</v>
      </c>
      <c r="G15" s="6" t="s">
        <v>16</v>
      </c>
      <c r="H15" s="2" t="s">
        <v>17</v>
      </c>
      <c r="I15" s="4" t="s">
        <v>64</v>
      </c>
      <c r="J15" s="7" t="s">
        <v>19</v>
      </c>
    </row>
    <row r="16" customFormat="false" ht="15" hidden="false" customHeight="false" outlineLevel="0" collapsed="false">
      <c r="A16" s="2" t="s">
        <v>50</v>
      </c>
      <c r="B16" s="3" t="s">
        <v>65</v>
      </c>
      <c r="C16" s="2" t="s">
        <v>66</v>
      </c>
      <c r="D16" s="2" t="s">
        <v>13</v>
      </c>
      <c r="E16" s="2" t="s">
        <v>53</v>
      </c>
      <c r="F16" s="5" t="s">
        <v>15</v>
      </c>
      <c r="G16" s="6" t="s">
        <v>16</v>
      </c>
      <c r="H16" s="2" t="s">
        <v>17</v>
      </c>
      <c r="I16" s="2" t="s">
        <v>67</v>
      </c>
      <c r="J16" s="7" t="s">
        <v>19</v>
      </c>
    </row>
    <row r="17" customFormat="false" ht="15" hidden="false" customHeight="false" outlineLevel="0" collapsed="false">
      <c r="A17" s="2" t="s">
        <v>50</v>
      </c>
      <c r="B17" s="3" t="s">
        <v>68</v>
      </c>
      <c r="C17" s="2" t="s">
        <v>69</v>
      </c>
      <c r="D17" s="2" t="s">
        <v>13</v>
      </c>
      <c r="E17" s="2" t="s">
        <v>53</v>
      </c>
      <c r="F17" s="8" t="s">
        <v>38</v>
      </c>
      <c r="G17" s="6" t="s">
        <v>16</v>
      </c>
      <c r="H17" s="2" t="s">
        <v>17</v>
      </c>
      <c r="I17" s="2" t="s">
        <v>70</v>
      </c>
      <c r="J17" s="7" t="s">
        <v>19</v>
      </c>
    </row>
    <row r="18" customFormat="false" ht="15" hidden="false" customHeight="false" outlineLevel="0" collapsed="false">
      <c r="A18" s="2" t="s">
        <v>50</v>
      </c>
      <c r="B18" s="3" t="s">
        <v>71</v>
      </c>
      <c r="C18" s="2" t="s">
        <v>72</v>
      </c>
      <c r="D18" s="2" t="s">
        <v>13</v>
      </c>
      <c r="E18" s="2" t="s">
        <v>53</v>
      </c>
      <c r="F18" s="8" t="s">
        <v>38</v>
      </c>
      <c r="G18" s="6" t="s">
        <v>16</v>
      </c>
      <c r="H18" s="2" t="s">
        <v>17</v>
      </c>
      <c r="I18" s="2" t="s">
        <v>73</v>
      </c>
      <c r="J18" s="7" t="s">
        <v>19</v>
      </c>
    </row>
    <row r="19" customFormat="false" ht="15" hidden="false" customHeight="false" outlineLevel="0" collapsed="false">
      <c r="A19" s="2" t="s">
        <v>50</v>
      </c>
      <c r="B19" s="3" t="s">
        <v>74</v>
      </c>
      <c r="C19" s="2" t="s">
        <v>75</v>
      </c>
      <c r="D19" s="2" t="s">
        <v>13</v>
      </c>
      <c r="E19" s="2" t="s">
        <v>53</v>
      </c>
      <c r="F19" s="5" t="s">
        <v>15</v>
      </c>
      <c r="G19" s="6" t="s">
        <v>16</v>
      </c>
      <c r="H19" s="2" t="s">
        <v>17</v>
      </c>
      <c r="I19" s="4" t="s">
        <v>76</v>
      </c>
      <c r="J19" s="7" t="s">
        <v>19</v>
      </c>
    </row>
    <row r="20" customFormat="false" ht="15" hidden="false" customHeight="false" outlineLevel="0" collapsed="false">
      <c r="A20" s="2" t="s">
        <v>50</v>
      </c>
      <c r="B20" s="3" t="s">
        <v>77</v>
      </c>
      <c r="C20" s="2" t="s">
        <v>78</v>
      </c>
      <c r="D20" s="2" t="s">
        <v>13</v>
      </c>
      <c r="E20" s="2" t="s">
        <v>14</v>
      </c>
      <c r="F20" s="5" t="s">
        <v>15</v>
      </c>
      <c r="G20" s="6" t="s">
        <v>16</v>
      </c>
      <c r="H20" s="2" t="s">
        <v>17</v>
      </c>
      <c r="I20" s="4" t="s">
        <v>79</v>
      </c>
      <c r="J20" s="7" t="s">
        <v>19</v>
      </c>
    </row>
    <row r="21" customFormat="false" ht="15" hidden="false" customHeight="false" outlineLevel="0" collapsed="false">
      <c r="A21" s="2" t="s">
        <v>50</v>
      </c>
      <c r="B21" s="3" t="s">
        <v>80</v>
      </c>
      <c r="C21" s="2" t="s">
        <v>81</v>
      </c>
      <c r="D21" s="2" t="s">
        <v>13</v>
      </c>
      <c r="E21" s="2" t="s">
        <v>14</v>
      </c>
      <c r="F21" s="5" t="s">
        <v>15</v>
      </c>
      <c r="G21" s="6" t="s">
        <v>16</v>
      </c>
      <c r="H21" s="2" t="s">
        <v>17</v>
      </c>
      <c r="I21" s="2" t="s">
        <v>82</v>
      </c>
      <c r="J21" s="7" t="s">
        <v>19</v>
      </c>
    </row>
    <row r="22" customFormat="false" ht="15" hidden="false" customHeight="false" outlineLevel="0" collapsed="false">
      <c r="A22" s="2" t="s">
        <v>50</v>
      </c>
      <c r="B22" s="3" t="s">
        <v>83</v>
      </c>
      <c r="C22" s="2" t="s">
        <v>84</v>
      </c>
      <c r="D22" s="2" t="s">
        <v>13</v>
      </c>
      <c r="E22" s="2" t="s">
        <v>14</v>
      </c>
      <c r="F22" s="5" t="s">
        <v>15</v>
      </c>
      <c r="G22" s="6" t="s">
        <v>16</v>
      </c>
      <c r="H22" s="2" t="s">
        <v>17</v>
      </c>
      <c r="I22" s="4" t="s">
        <v>85</v>
      </c>
      <c r="J22" s="7" t="s">
        <v>19</v>
      </c>
    </row>
    <row r="23" customFormat="false" ht="15" hidden="false" customHeight="false" outlineLevel="0" collapsed="false">
      <c r="A23" s="2" t="s">
        <v>50</v>
      </c>
      <c r="B23" s="3" t="s">
        <v>86</v>
      </c>
      <c r="C23" s="2" t="s">
        <v>87</v>
      </c>
      <c r="D23" s="2" t="s">
        <v>13</v>
      </c>
      <c r="E23" s="2" t="s">
        <v>14</v>
      </c>
      <c r="F23" s="5" t="s">
        <v>15</v>
      </c>
      <c r="G23" s="6" t="s">
        <v>16</v>
      </c>
      <c r="H23" s="2" t="s">
        <v>17</v>
      </c>
      <c r="I23" s="2" t="s">
        <v>88</v>
      </c>
      <c r="J23" s="7" t="s">
        <v>19</v>
      </c>
    </row>
    <row r="24" customFormat="false" ht="15" hidden="false" customHeight="false" outlineLevel="0" collapsed="false">
      <c r="A24" s="2" t="s">
        <v>50</v>
      </c>
      <c r="B24" s="3" t="s">
        <v>89</v>
      </c>
      <c r="C24" s="4" t="s">
        <v>90</v>
      </c>
      <c r="D24" s="2" t="s">
        <v>13</v>
      </c>
      <c r="E24" s="2" t="s">
        <v>14</v>
      </c>
      <c r="F24" s="8" t="s">
        <v>38</v>
      </c>
      <c r="G24" s="6" t="s">
        <v>16</v>
      </c>
      <c r="H24" s="2" t="s">
        <v>17</v>
      </c>
      <c r="I24" s="2" t="s">
        <v>91</v>
      </c>
      <c r="J24" s="7" t="s">
        <v>19</v>
      </c>
    </row>
    <row r="25" customFormat="false" ht="15" hidden="false" customHeight="false" outlineLevel="0" collapsed="false">
      <c r="A25" s="2" t="s">
        <v>50</v>
      </c>
      <c r="B25" s="3" t="s">
        <v>92</v>
      </c>
      <c r="C25" s="2" t="s">
        <v>93</v>
      </c>
      <c r="D25" s="2" t="s">
        <v>13</v>
      </c>
      <c r="E25" s="2" t="s">
        <v>14</v>
      </c>
      <c r="F25" s="5" t="s">
        <v>15</v>
      </c>
      <c r="G25" s="6" t="s">
        <v>16</v>
      </c>
      <c r="H25" s="2" t="s">
        <v>17</v>
      </c>
      <c r="I25" s="2" t="s">
        <v>94</v>
      </c>
      <c r="J25" s="7" t="s">
        <v>19</v>
      </c>
    </row>
    <row r="26" customFormat="false" ht="15" hidden="false" customHeight="false" outlineLevel="0" collapsed="false">
      <c r="A26" s="2" t="s">
        <v>50</v>
      </c>
      <c r="B26" s="3" t="s">
        <v>95</v>
      </c>
      <c r="C26" s="2" t="s">
        <v>96</v>
      </c>
      <c r="D26" s="2" t="s">
        <v>13</v>
      </c>
      <c r="E26" s="2" t="s">
        <v>28</v>
      </c>
      <c r="F26" s="5" t="s">
        <v>15</v>
      </c>
      <c r="G26" s="6" t="s">
        <v>16</v>
      </c>
      <c r="H26" s="2" t="s">
        <v>17</v>
      </c>
      <c r="I26" s="2" t="s">
        <v>97</v>
      </c>
      <c r="J26" s="7" t="s">
        <v>19</v>
      </c>
    </row>
    <row r="27" customFormat="false" ht="15" hidden="false" customHeight="false" outlineLevel="0" collapsed="false">
      <c r="A27" s="2" t="s">
        <v>50</v>
      </c>
      <c r="B27" s="3" t="s">
        <v>98</v>
      </c>
      <c r="C27" s="2" t="s">
        <v>99</v>
      </c>
      <c r="D27" s="2" t="s">
        <v>13</v>
      </c>
      <c r="E27" s="2" t="s">
        <v>28</v>
      </c>
      <c r="F27" s="5" t="s">
        <v>15</v>
      </c>
      <c r="G27" s="6" t="s">
        <v>16</v>
      </c>
      <c r="H27" s="2" t="s">
        <v>17</v>
      </c>
      <c r="I27" s="2" t="s">
        <v>100</v>
      </c>
      <c r="J27" s="7" t="s">
        <v>19</v>
      </c>
    </row>
    <row r="28" customFormat="false" ht="15" hidden="false" customHeight="false" outlineLevel="0" collapsed="false">
      <c r="A28" s="2" t="s">
        <v>50</v>
      </c>
      <c r="B28" s="3" t="s">
        <v>101</v>
      </c>
      <c r="C28" s="2" t="s">
        <v>102</v>
      </c>
      <c r="D28" s="2" t="s">
        <v>13</v>
      </c>
      <c r="E28" s="2" t="s">
        <v>28</v>
      </c>
      <c r="F28" s="5" t="s">
        <v>15</v>
      </c>
      <c r="G28" s="6" t="s">
        <v>16</v>
      </c>
      <c r="H28" s="2" t="s">
        <v>17</v>
      </c>
      <c r="I28" s="4" t="s">
        <v>103</v>
      </c>
      <c r="J28" s="7" t="s">
        <v>19</v>
      </c>
    </row>
    <row r="29" customFormat="false" ht="15" hidden="false" customHeight="false" outlineLevel="0" collapsed="false">
      <c r="A29" s="2" t="s">
        <v>50</v>
      </c>
      <c r="B29" s="3" t="s">
        <v>104</v>
      </c>
      <c r="C29" s="2" t="s">
        <v>105</v>
      </c>
      <c r="D29" s="2" t="s">
        <v>13</v>
      </c>
      <c r="E29" s="2" t="s">
        <v>28</v>
      </c>
      <c r="F29" s="8" t="s">
        <v>38</v>
      </c>
      <c r="G29" s="6" t="s">
        <v>16</v>
      </c>
      <c r="H29" s="2" t="s">
        <v>17</v>
      </c>
      <c r="I29" s="2" t="s">
        <v>106</v>
      </c>
      <c r="J29" s="7" t="s">
        <v>19</v>
      </c>
    </row>
    <row r="30" customFormat="false" ht="15" hidden="false" customHeight="false" outlineLevel="0" collapsed="false">
      <c r="A30" s="2" t="s">
        <v>50</v>
      </c>
      <c r="B30" s="3" t="s">
        <v>107</v>
      </c>
      <c r="C30" s="2" t="s">
        <v>108</v>
      </c>
      <c r="D30" s="2" t="s">
        <v>13</v>
      </c>
      <c r="E30" s="2" t="s">
        <v>28</v>
      </c>
      <c r="F30" s="5" t="s">
        <v>15</v>
      </c>
      <c r="G30" s="6" t="s">
        <v>16</v>
      </c>
      <c r="H30" s="2" t="s">
        <v>17</v>
      </c>
      <c r="I30" s="2" t="s">
        <v>109</v>
      </c>
      <c r="J30" s="7" t="s">
        <v>19</v>
      </c>
    </row>
    <row r="31" customFormat="false" ht="15" hidden="false" customHeight="false" outlineLevel="0" collapsed="false">
      <c r="A31" s="2" t="s">
        <v>50</v>
      </c>
      <c r="B31" s="3" t="s">
        <v>110</v>
      </c>
      <c r="C31" s="2" t="s">
        <v>111</v>
      </c>
      <c r="D31" s="2" t="s">
        <v>13</v>
      </c>
      <c r="E31" s="2" t="s">
        <v>28</v>
      </c>
      <c r="F31" s="5" t="s">
        <v>15</v>
      </c>
      <c r="G31" s="6" t="s">
        <v>16</v>
      </c>
      <c r="H31" s="2" t="s">
        <v>17</v>
      </c>
      <c r="I31" s="2" t="s">
        <v>112</v>
      </c>
      <c r="J31" s="7" t="s">
        <v>19</v>
      </c>
    </row>
    <row r="32" customFormat="false" ht="15" hidden="false" customHeight="false" outlineLevel="0" collapsed="false">
      <c r="A32" s="2" t="s">
        <v>50</v>
      </c>
      <c r="B32" s="3" t="s">
        <v>113</v>
      </c>
      <c r="C32" s="2" t="s">
        <v>114</v>
      </c>
      <c r="D32" s="2" t="s">
        <v>13</v>
      </c>
      <c r="E32" s="2" t="s">
        <v>28</v>
      </c>
      <c r="F32" s="5" t="s">
        <v>15</v>
      </c>
      <c r="G32" s="6" t="s">
        <v>16</v>
      </c>
      <c r="H32" s="2" t="s">
        <v>17</v>
      </c>
      <c r="I32" s="4" t="s">
        <v>115</v>
      </c>
      <c r="J32" s="7" t="s">
        <v>19</v>
      </c>
    </row>
    <row r="33" customFormat="false" ht="15" hidden="false" customHeight="false" outlineLevel="0" collapsed="false">
      <c r="A33" s="2" t="s">
        <v>50</v>
      </c>
      <c r="B33" s="3" t="s">
        <v>116</v>
      </c>
      <c r="C33" s="2" t="s">
        <v>117</v>
      </c>
      <c r="D33" s="2" t="s">
        <v>13</v>
      </c>
      <c r="E33" s="2" t="s">
        <v>28</v>
      </c>
      <c r="F33" s="5" t="s">
        <v>15</v>
      </c>
      <c r="G33" s="6" t="s">
        <v>16</v>
      </c>
      <c r="H33" s="2" t="s">
        <v>17</v>
      </c>
      <c r="I33" s="2" t="s">
        <v>118</v>
      </c>
      <c r="J33" s="7" t="s">
        <v>19</v>
      </c>
    </row>
    <row r="34" customFormat="false" ht="15" hidden="false" customHeight="false" outlineLevel="0" collapsed="false">
      <c r="A34" s="2" t="s">
        <v>50</v>
      </c>
      <c r="B34" s="3" t="s">
        <v>119</v>
      </c>
      <c r="C34" s="2" t="s">
        <v>120</v>
      </c>
      <c r="D34" s="2" t="s">
        <v>13</v>
      </c>
      <c r="E34" s="2" t="s">
        <v>28</v>
      </c>
      <c r="F34" s="8" t="s">
        <v>38</v>
      </c>
      <c r="G34" s="6" t="s">
        <v>16</v>
      </c>
      <c r="H34" s="2" t="s">
        <v>17</v>
      </c>
      <c r="I34" s="2" t="s">
        <v>121</v>
      </c>
      <c r="J34" s="7" t="s">
        <v>19</v>
      </c>
    </row>
    <row r="35" customFormat="false" ht="15" hidden="false" customHeight="false" outlineLevel="0" collapsed="false">
      <c r="A35" s="2" t="s">
        <v>50</v>
      </c>
      <c r="B35" s="3" t="s">
        <v>122</v>
      </c>
      <c r="C35" s="2" t="s">
        <v>123</v>
      </c>
      <c r="D35" s="2" t="s">
        <v>13</v>
      </c>
      <c r="E35" s="2" t="s">
        <v>48</v>
      </c>
      <c r="F35" s="5" t="s">
        <v>15</v>
      </c>
      <c r="G35" s="6" t="s">
        <v>16</v>
      </c>
      <c r="H35" s="2" t="s">
        <v>17</v>
      </c>
      <c r="I35" s="4" t="s">
        <v>124</v>
      </c>
      <c r="J35" s="7" t="s">
        <v>19</v>
      </c>
    </row>
    <row r="36" customFormat="false" ht="15" hidden="false" customHeight="false" outlineLevel="0" collapsed="false">
      <c r="A36" s="2" t="s">
        <v>50</v>
      </c>
      <c r="B36" s="3" t="s">
        <v>125</v>
      </c>
      <c r="C36" s="2" t="s">
        <v>126</v>
      </c>
      <c r="D36" s="2" t="s">
        <v>13</v>
      </c>
      <c r="E36" s="2" t="s">
        <v>48</v>
      </c>
      <c r="F36" s="5" t="s">
        <v>15</v>
      </c>
      <c r="G36" s="6" t="s">
        <v>16</v>
      </c>
      <c r="H36" s="2" t="s">
        <v>17</v>
      </c>
      <c r="I36" s="2" t="s">
        <v>127</v>
      </c>
      <c r="J36" s="7" t="s">
        <v>19</v>
      </c>
    </row>
    <row r="37" customFormat="false" ht="15" hidden="false" customHeight="false" outlineLevel="0" collapsed="false">
      <c r="A37" s="2" t="s">
        <v>50</v>
      </c>
      <c r="B37" s="3" t="s">
        <v>128</v>
      </c>
      <c r="C37" s="2" t="s">
        <v>129</v>
      </c>
      <c r="D37" s="2" t="s">
        <v>13</v>
      </c>
      <c r="E37" s="2" t="s">
        <v>48</v>
      </c>
      <c r="F37" s="5" t="s">
        <v>15</v>
      </c>
      <c r="G37" s="6" t="s">
        <v>16</v>
      </c>
      <c r="H37" s="2" t="s">
        <v>17</v>
      </c>
      <c r="I37" s="2" t="s">
        <v>130</v>
      </c>
      <c r="J37" s="7" t="s">
        <v>19</v>
      </c>
    </row>
    <row r="38" customFormat="false" ht="15" hidden="false" customHeight="false" outlineLevel="0" collapsed="false">
      <c r="A38" s="2" t="s">
        <v>50</v>
      </c>
      <c r="B38" s="3" t="s">
        <v>131</v>
      </c>
      <c r="C38" s="2" t="s">
        <v>132</v>
      </c>
      <c r="D38" s="2" t="s">
        <v>13</v>
      </c>
      <c r="E38" s="2" t="s">
        <v>48</v>
      </c>
      <c r="F38" s="5" t="s">
        <v>15</v>
      </c>
      <c r="G38" s="6" t="s">
        <v>16</v>
      </c>
      <c r="H38" s="2" t="s">
        <v>17</v>
      </c>
      <c r="I38" s="2" t="s">
        <v>133</v>
      </c>
      <c r="J38" s="7" t="s">
        <v>19</v>
      </c>
    </row>
    <row r="39" customFormat="false" ht="15" hidden="false" customHeight="false" outlineLevel="0" collapsed="false">
      <c r="A39" s="2" t="s">
        <v>50</v>
      </c>
      <c r="B39" s="3" t="s">
        <v>134</v>
      </c>
      <c r="C39" s="2" t="s">
        <v>135</v>
      </c>
      <c r="D39" s="2" t="s">
        <v>13</v>
      </c>
      <c r="E39" s="2" t="s">
        <v>48</v>
      </c>
      <c r="F39" s="8" t="s">
        <v>38</v>
      </c>
      <c r="G39" s="6" t="s">
        <v>16</v>
      </c>
      <c r="H39" s="2" t="s">
        <v>17</v>
      </c>
      <c r="I39" s="2" t="s">
        <v>136</v>
      </c>
      <c r="J39" s="7" t="s">
        <v>19</v>
      </c>
    </row>
    <row r="40" customFormat="false" ht="15" hidden="false" customHeight="false" outlineLevel="0" collapsed="false">
      <c r="A40" s="2" t="s">
        <v>10</v>
      </c>
      <c r="B40" s="3" t="s">
        <v>137</v>
      </c>
      <c r="C40" s="4" t="s">
        <v>138</v>
      </c>
      <c r="D40" s="4" t="s">
        <v>139</v>
      </c>
      <c r="E40" s="2" t="s">
        <v>140</v>
      </c>
      <c r="F40" s="5" t="s">
        <v>15</v>
      </c>
      <c r="G40" s="6" t="s">
        <v>16</v>
      </c>
      <c r="H40" s="2" t="s">
        <v>17</v>
      </c>
      <c r="I40" s="2" t="s">
        <v>141</v>
      </c>
      <c r="J40" s="7" t="s">
        <v>19</v>
      </c>
    </row>
    <row r="41" customFormat="false" ht="15" hidden="false" customHeight="false" outlineLevel="0" collapsed="false">
      <c r="A41" s="2" t="s">
        <v>10</v>
      </c>
      <c r="B41" s="3" t="s">
        <v>142</v>
      </c>
      <c r="C41" s="4" t="s">
        <v>143</v>
      </c>
      <c r="D41" s="4" t="s">
        <v>139</v>
      </c>
      <c r="E41" s="2" t="s">
        <v>140</v>
      </c>
      <c r="F41" s="5" t="s">
        <v>15</v>
      </c>
      <c r="G41" s="6" t="s">
        <v>16</v>
      </c>
      <c r="H41" s="2" t="s">
        <v>17</v>
      </c>
      <c r="I41" s="2" t="s">
        <v>144</v>
      </c>
      <c r="J41" s="7" t="s">
        <v>19</v>
      </c>
    </row>
    <row r="42" customFormat="false" ht="15" hidden="false" customHeight="false" outlineLevel="0" collapsed="false">
      <c r="A42" s="2" t="s">
        <v>10</v>
      </c>
      <c r="B42" s="3" t="s">
        <v>145</v>
      </c>
      <c r="C42" s="4" t="s">
        <v>146</v>
      </c>
      <c r="D42" s="4" t="s">
        <v>139</v>
      </c>
      <c r="E42" s="2" t="s">
        <v>140</v>
      </c>
      <c r="F42" s="5" t="s">
        <v>15</v>
      </c>
      <c r="G42" s="6" t="s">
        <v>16</v>
      </c>
      <c r="H42" s="2" t="s">
        <v>17</v>
      </c>
      <c r="I42" s="2" t="s">
        <v>147</v>
      </c>
      <c r="J42" s="7" t="s">
        <v>19</v>
      </c>
    </row>
    <row r="43" customFormat="false" ht="15" hidden="false" customHeight="false" outlineLevel="0" collapsed="false">
      <c r="A43" s="2" t="s">
        <v>10</v>
      </c>
      <c r="B43" s="3" t="s">
        <v>148</v>
      </c>
      <c r="C43" s="4" t="s">
        <v>149</v>
      </c>
      <c r="D43" s="4" t="s">
        <v>139</v>
      </c>
      <c r="E43" s="2" t="s">
        <v>140</v>
      </c>
      <c r="F43" s="5" t="s">
        <v>15</v>
      </c>
      <c r="G43" s="6" t="s">
        <v>16</v>
      </c>
      <c r="H43" s="2" t="s">
        <v>17</v>
      </c>
      <c r="I43" s="2" t="s">
        <v>150</v>
      </c>
      <c r="J43" s="7" t="s">
        <v>19</v>
      </c>
    </row>
    <row r="44" customFormat="false" ht="15" hidden="false" customHeight="false" outlineLevel="0" collapsed="false">
      <c r="A44" s="2" t="s">
        <v>10</v>
      </c>
      <c r="B44" s="3" t="s">
        <v>151</v>
      </c>
      <c r="C44" s="4" t="s">
        <v>152</v>
      </c>
      <c r="D44" s="4" t="s">
        <v>139</v>
      </c>
      <c r="E44" s="2" t="s">
        <v>140</v>
      </c>
      <c r="F44" s="8" t="s">
        <v>38</v>
      </c>
      <c r="G44" s="6" t="s">
        <v>16</v>
      </c>
      <c r="H44" s="2" t="s">
        <v>17</v>
      </c>
      <c r="I44" s="2" t="s">
        <v>153</v>
      </c>
      <c r="J44" s="7" t="s">
        <v>19</v>
      </c>
    </row>
    <row r="45" customFormat="false" ht="15" hidden="false" customHeight="false" outlineLevel="0" collapsed="false">
      <c r="A45" s="2" t="s">
        <v>10</v>
      </c>
      <c r="B45" s="3" t="s">
        <v>154</v>
      </c>
      <c r="C45" s="4" t="s">
        <v>155</v>
      </c>
      <c r="D45" s="4" t="s">
        <v>139</v>
      </c>
      <c r="E45" s="2" t="s">
        <v>156</v>
      </c>
      <c r="F45" s="5" t="s">
        <v>15</v>
      </c>
      <c r="G45" s="6" t="s">
        <v>16</v>
      </c>
      <c r="H45" s="2" t="s">
        <v>17</v>
      </c>
      <c r="I45" s="4" t="s">
        <v>157</v>
      </c>
      <c r="J45" s="7" t="s">
        <v>19</v>
      </c>
    </row>
    <row r="46" customFormat="false" ht="15" hidden="false" customHeight="false" outlineLevel="0" collapsed="false">
      <c r="A46" s="2" t="s">
        <v>10</v>
      </c>
      <c r="B46" s="3" t="s">
        <v>158</v>
      </c>
      <c r="C46" s="4" t="s">
        <v>159</v>
      </c>
      <c r="D46" s="4" t="s">
        <v>139</v>
      </c>
      <c r="E46" s="2" t="s">
        <v>160</v>
      </c>
      <c r="F46" s="9" t="s">
        <v>54</v>
      </c>
      <c r="G46" s="6" t="s">
        <v>16</v>
      </c>
      <c r="H46" s="2" t="s">
        <v>17</v>
      </c>
      <c r="I46" s="2" t="s">
        <v>161</v>
      </c>
      <c r="J46" s="7" t="s">
        <v>19</v>
      </c>
    </row>
    <row r="47" customFormat="false" ht="15" hidden="false" customHeight="false" outlineLevel="0" collapsed="false">
      <c r="A47" s="2" t="s">
        <v>10</v>
      </c>
      <c r="B47" s="3" t="s">
        <v>162</v>
      </c>
      <c r="C47" s="4" t="s">
        <v>163</v>
      </c>
      <c r="D47" s="4" t="s">
        <v>139</v>
      </c>
      <c r="E47" s="2" t="s">
        <v>160</v>
      </c>
      <c r="F47" s="5" t="s">
        <v>15</v>
      </c>
      <c r="G47" s="6" t="s">
        <v>16</v>
      </c>
      <c r="H47" s="2" t="s">
        <v>17</v>
      </c>
      <c r="I47" s="2" t="s">
        <v>164</v>
      </c>
      <c r="J47" s="7" t="s">
        <v>19</v>
      </c>
    </row>
    <row r="48" customFormat="false" ht="15" hidden="false" customHeight="false" outlineLevel="0" collapsed="false">
      <c r="A48" s="2" t="s">
        <v>10</v>
      </c>
      <c r="B48" s="3" t="s">
        <v>165</v>
      </c>
      <c r="C48" s="4" t="s">
        <v>166</v>
      </c>
      <c r="D48" s="4" t="s">
        <v>139</v>
      </c>
      <c r="E48" s="4" t="s">
        <v>167</v>
      </c>
      <c r="F48" s="5" t="s">
        <v>15</v>
      </c>
      <c r="G48" s="6" t="s">
        <v>16</v>
      </c>
      <c r="H48" s="2" t="s">
        <v>17</v>
      </c>
      <c r="I48" s="2" t="s">
        <v>168</v>
      </c>
      <c r="J48" s="7" t="s">
        <v>19</v>
      </c>
    </row>
    <row r="49" customFormat="false" ht="15" hidden="false" customHeight="false" outlineLevel="0" collapsed="false">
      <c r="A49" s="2" t="s">
        <v>10</v>
      </c>
      <c r="B49" s="3" t="s">
        <v>169</v>
      </c>
      <c r="C49" s="4" t="s">
        <v>170</v>
      </c>
      <c r="D49" s="4" t="s">
        <v>139</v>
      </c>
      <c r="E49" s="2" t="s">
        <v>171</v>
      </c>
      <c r="F49" s="5" t="s">
        <v>15</v>
      </c>
      <c r="G49" s="6" t="s">
        <v>16</v>
      </c>
      <c r="H49" s="2" t="s">
        <v>17</v>
      </c>
      <c r="I49" s="4" t="s">
        <v>172</v>
      </c>
      <c r="J49" s="7" t="s">
        <v>19</v>
      </c>
    </row>
    <row r="50" customFormat="false" ht="15" hidden="false" customHeight="false" outlineLevel="0" collapsed="false">
      <c r="A50" s="2" t="s">
        <v>10</v>
      </c>
      <c r="B50" s="3" t="s">
        <v>173</v>
      </c>
      <c r="C50" s="4" t="s">
        <v>173</v>
      </c>
      <c r="D50" s="4" t="s">
        <v>139</v>
      </c>
      <c r="E50" s="2" t="s">
        <v>171</v>
      </c>
      <c r="F50" s="8" t="s">
        <v>38</v>
      </c>
      <c r="G50" s="6" t="s">
        <v>16</v>
      </c>
      <c r="H50" s="2" t="s">
        <v>17</v>
      </c>
      <c r="I50" s="2" t="s">
        <v>174</v>
      </c>
      <c r="J50" s="7" t="s">
        <v>19</v>
      </c>
    </row>
    <row r="51" customFormat="false" ht="15" hidden="false" customHeight="false" outlineLevel="0" collapsed="false">
      <c r="A51" s="2" t="s">
        <v>10</v>
      </c>
      <c r="B51" s="3" t="s">
        <v>175</v>
      </c>
      <c r="C51" s="4" t="s">
        <v>176</v>
      </c>
      <c r="D51" s="4" t="s">
        <v>139</v>
      </c>
      <c r="E51" s="2" t="s">
        <v>171</v>
      </c>
      <c r="F51" s="8" t="s">
        <v>38</v>
      </c>
      <c r="G51" s="6" t="s">
        <v>16</v>
      </c>
      <c r="H51" s="2" t="s">
        <v>17</v>
      </c>
      <c r="I51" s="4" t="s">
        <v>177</v>
      </c>
      <c r="J51" s="7" t="s">
        <v>19</v>
      </c>
    </row>
    <row r="52" customFormat="false" ht="15" hidden="false" customHeight="false" outlineLevel="0" collapsed="false">
      <c r="A52" s="2" t="s">
        <v>50</v>
      </c>
      <c r="B52" s="3" t="s">
        <v>178</v>
      </c>
      <c r="C52" s="2" t="s">
        <v>179</v>
      </c>
      <c r="D52" s="4" t="s">
        <v>139</v>
      </c>
      <c r="E52" s="2" t="s">
        <v>140</v>
      </c>
      <c r="F52" s="5" t="s">
        <v>15</v>
      </c>
      <c r="G52" s="6" t="s">
        <v>16</v>
      </c>
      <c r="H52" s="2" t="s">
        <v>17</v>
      </c>
      <c r="I52" s="2" t="s">
        <v>180</v>
      </c>
      <c r="J52" s="7" t="s">
        <v>19</v>
      </c>
    </row>
    <row r="53" customFormat="false" ht="15" hidden="false" customHeight="false" outlineLevel="0" collapsed="false">
      <c r="A53" s="2" t="s">
        <v>50</v>
      </c>
      <c r="B53" s="3" t="s">
        <v>181</v>
      </c>
      <c r="C53" s="2" t="s">
        <v>182</v>
      </c>
      <c r="D53" s="4" t="s">
        <v>139</v>
      </c>
      <c r="E53" s="2" t="s">
        <v>140</v>
      </c>
      <c r="F53" s="8" t="s">
        <v>38</v>
      </c>
      <c r="G53" s="6" t="s">
        <v>16</v>
      </c>
      <c r="H53" s="2" t="s">
        <v>17</v>
      </c>
      <c r="I53" s="2" t="s">
        <v>183</v>
      </c>
      <c r="J53" s="7" t="s">
        <v>19</v>
      </c>
    </row>
    <row r="54" customFormat="false" ht="15" hidden="false" customHeight="false" outlineLevel="0" collapsed="false">
      <c r="A54" s="2" t="s">
        <v>50</v>
      </c>
      <c r="B54" s="3" t="s">
        <v>184</v>
      </c>
      <c r="C54" s="2" t="s">
        <v>185</v>
      </c>
      <c r="D54" s="4" t="s">
        <v>139</v>
      </c>
      <c r="E54" s="2" t="s">
        <v>140</v>
      </c>
      <c r="F54" s="8" t="s">
        <v>38</v>
      </c>
      <c r="G54" s="6" t="s">
        <v>16</v>
      </c>
      <c r="H54" s="2" t="s">
        <v>17</v>
      </c>
      <c r="I54" s="4" t="s">
        <v>186</v>
      </c>
      <c r="J54" s="7" t="s">
        <v>19</v>
      </c>
    </row>
    <row r="55" customFormat="false" ht="15" hidden="false" customHeight="false" outlineLevel="0" collapsed="false">
      <c r="A55" s="2" t="s">
        <v>50</v>
      </c>
      <c r="B55" s="3" t="s">
        <v>187</v>
      </c>
      <c r="C55" s="2" t="s">
        <v>188</v>
      </c>
      <c r="D55" s="4" t="s">
        <v>139</v>
      </c>
      <c r="E55" s="2" t="s">
        <v>140</v>
      </c>
      <c r="F55" s="8" t="s">
        <v>38</v>
      </c>
      <c r="G55" s="6" t="s">
        <v>16</v>
      </c>
      <c r="H55" s="2" t="s">
        <v>17</v>
      </c>
      <c r="I55" s="2" t="s">
        <v>189</v>
      </c>
      <c r="J55" s="7" t="s">
        <v>19</v>
      </c>
    </row>
    <row r="56" customFormat="false" ht="15" hidden="false" customHeight="false" outlineLevel="0" collapsed="false">
      <c r="A56" s="2" t="s">
        <v>50</v>
      </c>
      <c r="B56" s="3" t="s">
        <v>190</v>
      </c>
      <c r="C56" s="2" t="s">
        <v>191</v>
      </c>
      <c r="D56" s="4" t="s">
        <v>139</v>
      </c>
      <c r="E56" s="2" t="s">
        <v>140</v>
      </c>
      <c r="F56" s="8" t="s">
        <v>38</v>
      </c>
      <c r="G56" s="6" t="s">
        <v>16</v>
      </c>
      <c r="H56" s="2" t="s">
        <v>17</v>
      </c>
      <c r="I56" s="2" t="s">
        <v>192</v>
      </c>
      <c r="J56" s="7" t="s">
        <v>19</v>
      </c>
    </row>
    <row r="57" customFormat="false" ht="15" hidden="false" customHeight="false" outlineLevel="0" collapsed="false">
      <c r="A57" s="2" t="s">
        <v>50</v>
      </c>
      <c r="B57" s="3" t="s">
        <v>193</v>
      </c>
      <c r="C57" s="2" t="s">
        <v>194</v>
      </c>
      <c r="D57" s="4" t="s">
        <v>139</v>
      </c>
      <c r="E57" s="2" t="s">
        <v>140</v>
      </c>
      <c r="F57" s="5" t="s">
        <v>15</v>
      </c>
      <c r="G57" s="6" t="s">
        <v>16</v>
      </c>
      <c r="H57" s="2" t="s">
        <v>17</v>
      </c>
      <c r="I57" s="2" t="s">
        <v>195</v>
      </c>
      <c r="J57" s="7" t="s">
        <v>19</v>
      </c>
    </row>
    <row r="58" customFormat="false" ht="15" hidden="false" customHeight="false" outlineLevel="0" collapsed="false">
      <c r="A58" s="2" t="s">
        <v>50</v>
      </c>
      <c r="B58" s="3" t="s">
        <v>196</v>
      </c>
      <c r="C58" s="2" t="s">
        <v>197</v>
      </c>
      <c r="D58" s="4" t="s">
        <v>139</v>
      </c>
      <c r="E58" s="2" t="s">
        <v>140</v>
      </c>
      <c r="F58" s="8" t="s">
        <v>38</v>
      </c>
      <c r="G58" s="6" t="s">
        <v>16</v>
      </c>
      <c r="H58" s="2" t="s">
        <v>17</v>
      </c>
      <c r="I58" s="2" t="s">
        <v>198</v>
      </c>
      <c r="J58" s="7" t="s">
        <v>19</v>
      </c>
    </row>
    <row r="59" customFormat="false" ht="15" hidden="false" customHeight="false" outlineLevel="0" collapsed="false">
      <c r="A59" s="2" t="s">
        <v>50</v>
      </c>
      <c r="B59" s="3" t="s">
        <v>199</v>
      </c>
      <c r="C59" s="2" t="s">
        <v>200</v>
      </c>
      <c r="D59" s="4" t="s">
        <v>139</v>
      </c>
      <c r="E59" s="2" t="s">
        <v>140</v>
      </c>
      <c r="F59" s="8" t="s">
        <v>38</v>
      </c>
      <c r="G59" s="6" t="s">
        <v>16</v>
      </c>
      <c r="H59" s="2" t="s">
        <v>17</v>
      </c>
      <c r="I59" s="2" t="s">
        <v>183</v>
      </c>
      <c r="J59" s="7" t="s">
        <v>19</v>
      </c>
    </row>
    <row r="60" customFormat="false" ht="15" hidden="false" customHeight="false" outlineLevel="0" collapsed="false">
      <c r="A60" s="2" t="s">
        <v>50</v>
      </c>
      <c r="B60" s="3" t="s">
        <v>201</v>
      </c>
      <c r="C60" s="2" t="s">
        <v>202</v>
      </c>
      <c r="D60" s="4" t="s">
        <v>139</v>
      </c>
      <c r="E60" s="2" t="s">
        <v>160</v>
      </c>
      <c r="F60" s="5" t="s">
        <v>15</v>
      </c>
      <c r="G60" s="6" t="s">
        <v>16</v>
      </c>
      <c r="H60" s="2" t="s">
        <v>17</v>
      </c>
      <c r="I60" s="2" t="s">
        <v>203</v>
      </c>
      <c r="J60" s="7" t="s">
        <v>19</v>
      </c>
    </row>
    <row r="61" customFormat="false" ht="15" hidden="false" customHeight="false" outlineLevel="0" collapsed="false">
      <c r="A61" s="2" t="s">
        <v>50</v>
      </c>
      <c r="B61" s="3" t="s">
        <v>204</v>
      </c>
      <c r="C61" s="2" t="s">
        <v>205</v>
      </c>
      <c r="D61" s="4" t="s">
        <v>139</v>
      </c>
      <c r="E61" s="2" t="s">
        <v>160</v>
      </c>
      <c r="F61" s="5" t="s">
        <v>15</v>
      </c>
      <c r="G61" s="6" t="s">
        <v>16</v>
      </c>
      <c r="H61" s="2" t="s">
        <v>17</v>
      </c>
      <c r="I61" s="2" t="s">
        <v>206</v>
      </c>
      <c r="J61" s="7" t="s">
        <v>19</v>
      </c>
    </row>
    <row r="62" customFormat="false" ht="15" hidden="false" customHeight="false" outlineLevel="0" collapsed="false">
      <c r="A62" s="2" t="s">
        <v>50</v>
      </c>
      <c r="B62" s="3" t="s">
        <v>207</v>
      </c>
      <c r="C62" s="2" t="s">
        <v>208</v>
      </c>
      <c r="D62" s="4" t="s">
        <v>139</v>
      </c>
      <c r="E62" s="2" t="s">
        <v>160</v>
      </c>
      <c r="F62" s="8" t="s">
        <v>38</v>
      </c>
      <c r="G62" s="6" t="s">
        <v>16</v>
      </c>
      <c r="H62" s="2" t="s">
        <v>17</v>
      </c>
      <c r="I62" s="2" t="s">
        <v>209</v>
      </c>
      <c r="J62" s="7" t="s">
        <v>19</v>
      </c>
    </row>
    <row r="63" customFormat="false" ht="15" hidden="false" customHeight="false" outlineLevel="0" collapsed="false">
      <c r="A63" s="2" t="s">
        <v>50</v>
      </c>
      <c r="B63" s="3" t="s">
        <v>210</v>
      </c>
      <c r="C63" s="2" t="s">
        <v>211</v>
      </c>
      <c r="D63" s="4" t="s">
        <v>139</v>
      </c>
      <c r="E63" s="2" t="s">
        <v>160</v>
      </c>
      <c r="F63" s="5" t="s">
        <v>15</v>
      </c>
      <c r="G63" s="6" t="s">
        <v>16</v>
      </c>
      <c r="H63" s="2" t="s">
        <v>17</v>
      </c>
      <c r="I63" s="2" t="s">
        <v>212</v>
      </c>
      <c r="J63" s="7" t="s">
        <v>19</v>
      </c>
    </row>
    <row r="64" customFormat="false" ht="15" hidden="false" customHeight="false" outlineLevel="0" collapsed="false">
      <c r="A64" s="2" t="s">
        <v>50</v>
      </c>
      <c r="B64" s="3" t="s">
        <v>213</v>
      </c>
      <c r="C64" s="2" t="s">
        <v>214</v>
      </c>
      <c r="D64" s="4" t="s">
        <v>139</v>
      </c>
      <c r="E64" s="2" t="s">
        <v>160</v>
      </c>
      <c r="F64" s="5" t="s">
        <v>15</v>
      </c>
      <c r="G64" s="6" t="s">
        <v>16</v>
      </c>
      <c r="H64" s="2" t="s">
        <v>17</v>
      </c>
      <c r="I64" s="2" t="s">
        <v>215</v>
      </c>
      <c r="J64" s="7" t="s">
        <v>19</v>
      </c>
    </row>
    <row r="65" customFormat="false" ht="15" hidden="false" customHeight="false" outlineLevel="0" collapsed="false">
      <c r="A65" s="2" t="s">
        <v>50</v>
      </c>
      <c r="B65" s="3" t="s">
        <v>216</v>
      </c>
      <c r="C65" s="2" t="s">
        <v>217</v>
      </c>
      <c r="D65" s="4" t="s">
        <v>139</v>
      </c>
      <c r="E65" s="2" t="s">
        <v>160</v>
      </c>
      <c r="F65" s="5" t="s">
        <v>15</v>
      </c>
      <c r="G65" s="6" t="s">
        <v>16</v>
      </c>
      <c r="H65" s="2" t="s">
        <v>17</v>
      </c>
      <c r="I65" s="2" t="s">
        <v>218</v>
      </c>
      <c r="J65" s="7" t="s">
        <v>19</v>
      </c>
    </row>
    <row r="66" customFormat="false" ht="15" hidden="false" customHeight="false" outlineLevel="0" collapsed="false">
      <c r="A66" s="2" t="s">
        <v>50</v>
      </c>
      <c r="B66" s="3" t="s">
        <v>219</v>
      </c>
      <c r="C66" s="2" t="s">
        <v>220</v>
      </c>
      <c r="D66" s="4" t="s">
        <v>139</v>
      </c>
      <c r="E66" s="2" t="s">
        <v>160</v>
      </c>
      <c r="F66" s="5" t="s">
        <v>15</v>
      </c>
      <c r="G66" s="6" t="s">
        <v>16</v>
      </c>
      <c r="H66" s="2" t="s">
        <v>17</v>
      </c>
      <c r="I66" s="2" t="s">
        <v>221</v>
      </c>
      <c r="J66" s="7" t="s">
        <v>19</v>
      </c>
    </row>
    <row r="67" customFormat="false" ht="15" hidden="false" customHeight="false" outlineLevel="0" collapsed="false">
      <c r="A67" s="2" t="s">
        <v>50</v>
      </c>
      <c r="B67" s="3" t="s">
        <v>222</v>
      </c>
      <c r="C67" s="2" t="s">
        <v>223</v>
      </c>
      <c r="D67" s="4" t="s">
        <v>139</v>
      </c>
      <c r="E67" s="2" t="s">
        <v>160</v>
      </c>
      <c r="F67" s="8" t="s">
        <v>38</v>
      </c>
      <c r="G67" s="6" t="s">
        <v>16</v>
      </c>
      <c r="H67" s="2" t="s">
        <v>17</v>
      </c>
      <c r="I67" s="2" t="s">
        <v>224</v>
      </c>
      <c r="J67" s="7" t="s">
        <v>19</v>
      </c>
    </row>
    <row r="68" customFormat="false" ht="15" hidden="false" customHeight="false" outlineLevel="0" collapsed="false">
      <c r="A68" s="2" t="s">
        <v>50</v>
      </c>
      <c r="B68" s="3" t="s">
        <v>225</v>
      </c>
      <c r="C68" s="2" t="s">
        <v>226</v>
      </c>
      <c r="D68" s="4" t="s">
        <v>139</v>
      </c>
      <c r="E68" s="4" t="s">
        <v>167</v>
      </c>
      <c r="F68" s="9" t="s">
        <v>54</v>
      </c>
      <c r="G68" s="6" t="s">
        <v>16</v>
      </c>
      <c r="H68" s="2" t="s">
        <v>17</v>
      </c>
      <c r="I68" s="2" t="s">
        <v>227</v>
      </c>
      <c r="J68" s="7" t="s">
        <v>19</v>
      </c>
    </row>
    <row r="69" customFormat="false" ht="15" hidden="false" customHeight="false" outlineLevel="0" collapsed="false">
      <c r="A69" s="2" t="s">
        <v>50</v>
      </c>
      <c r="B69" s="3" t="s">
        <v>228</v>
      </c>
      <c r="C69" s="2" t="s">
        <v>229</v>
      </c>
      <c r="D69" s="4" t="s">
        <v>139</v>
      </c>
      <c r="E69" s="4" t="s">
        <v>167</v>
      </c>
      <c r="F69" s="5" t="s">
        <v>15</v>
      </c>
      <c r="G69" s="6" t="s">
        <v>16</v>
      </c>
      <c r="H69" s="2" t="s">
        <v>17</v>
      </c>
      <c r="I69" s="2" t="s">
        <v>230</v>
      </c>
      <c r="J69" s="7" t="s">
        <v>19</v>
      </c>
    </row>
    <row r="70" customFormat="false" ht="15" hidden="false" customHeight="false" outlineLevel="0" collapsed="false">
      <c r="A70" s="2" t="s">
        <v>50</v>
      </c>
      <c r="B70" s="3" t="s">
        <v>231</v>
      </c>
      <c r="C70" s="2" t="s">
        <v>232</v>
      </c>
      <c r="D70" s="4" t="s">
        <v>139</v>
      </c>
      <c r="E70" s="4" t="s">
        <v>167</v>
      </c>
      <c r="F70" s="5" t="s">
        <v>15</v>
      </c>
      <c r="G70" s="6" t="s">
        <v>16</v>
      </c>
      <c r="H70" s="2" t="s">
        <v>17</v>
      </c>
      <c r="I70" s="2" t="s">
        <v>233</v>
      </c>
      <c r="J70" s="7" t="s">
        <v>19</v>
      </c>
    </row>
    <row r="71" customFormat="false" ht="15" hidden="false" customHeight="false" outlineLevel="0" collapsed="false">
      <c r="A71" s="2" t="s">
        <v>50</v>
      </c>
      <c r="B71" s="3" t="s">
        <v>234</v>
      </c>
      <c r="C71" s="2" t="s">
        <v>235</v>
      </c>
      <c r="D71" s="4" t="s">
        <v>139</v>
      </c>
      <c r="E71" s="4" t="s">
        <v>167</v>
      </c>
      <c r="F71" s="9" t="s">
        <v>54</v>
      </c>
      <c r="G71" s="6" t="s">
        <v>16</v>
      </c>
      <c r="H71" s="2" t="s">
        <v>17</v>
      </c>
      <c r="I71" s="4" t="s">
        <v>236</v>
      </c>
      <c r="J71" s="7" t="s">
        <v>19</v>
      </c>
    </row>
    <row r="72" customFormat="false" ht="15" hidden="false" customHeight="false" outlineLevel="0" collapsed="false">
      <c r="A72" s="2" t="s">
        <v>50</v>
      </c>
      <c r="B72" s="3" t="s">
        <v>237</v>
      </c>
      <c r="C72" s="2" t="s">
        <v>238</v>
      </c>
      <c r="D72" s="4" t="s">
        <v>139</v>
      </c>
      <c r="E72" s="4" t="s">
        <v>167</v>
      </c>
      <c r="F72" s="5" t="s">
        <v>15</v>
      </c>
      <c r="G72" s="6" t="s">
        <v>16</v>
      </c>
      <c r="H72" s="2" t="s">
        <v>17</v>
      </c>
      <c r="I72" s="4" t="s">
        <v>236</v>
      </c>
      <c r="J72" s="7" t="s">
        <v>19</v>
      </c>
    </row>
    <row r="73" customFormat="false" ht="15" hidden="false" customHeight="false" outlineLevel="0" collapsed="false">
      <c r="A73" s="2" t="s">
        <v>50</v>
      </c>
      <c r="B73" s="3" t="s">
        <v>239</v>
      </c>
      <c r="C73" s="2" t="s">
        <v>240</v>
      </c>
      <c r="D73" s="4" t="s">
        <v>139</v>
      </c>
      <c r="E73" s="4" t="s">
        <v>167</v>
      </c>
      <c r="F73" s="9" t="s">
        <v>54</v>
      </c>
      <c r="G73" s="6" t="s">
        <v>16</v>
      </c>
      <c r="H73" s="2" t="s">
        <v>17</v>
      </c>
      <c r="I73" s="4" t="s">
        <v>241</v>
      </c>
      <c r="J73" s="7" t="s">
        <v>19</v>
      </c>
    </row>
    <row r="74" customFormat="false" ht="15" hidden="false" customHeight="false" outlineLevel="0" collapsed="false">
      <c r="A74" s="2" t="s">
        <v>50</v>
      </c>
      <c r="B74" s="3" t="s">
        <v>242</v>
      </c>
      <c r="C74" s="2" t="s">
        <v>243</v>
      </c>
      <c r="D74" s="4" t="s">
        <v>139</v>
      </c>
      <c r="E74" s="4" t="s">
        <v>167</v>
      </c>
      <c r="F74" s="8" t="s">
        <v>38</v>
      </c>
      <c r="G74" s="6" t="s">
        <v>16</v>
      </c>
      <c r="H74" s="2" t="s">
        <v>17</v>
      </c>
      <c r="I74" s="4" t="s">
        <v>244</v>
      </c>
      <c r="J74" s="7" t="s">
        <v>19</v>
      </c>
    </row>
    <row r="75" customFormat="false" ht="15" hidden="false" customHeight="false" outlineLevel="0" collapsed="false">
      <c r="A75" s="2" t="s">
        <v>10</v>
      </c>
      <c r="B75" s="3" t="s">
        <v>245</v>
      </c>
      <c r="C75" s="4" t="s">
        <v>246</v>
      </c>
      <c r="D75" s="2" t="s">
        <v>247</v>
      </c>
      <c r="E75" s="2" t="s">
        <v>248</v>
      </c>
      <c r="F75" s="9" t="s">
        <v>54</v>
      </c>
      <c r="G75" s="6" t="s">
        <v>16</v>
      </c>
      <c r="H75" s="2" t="s">
        <v>17</v>
      </c>
      <c r="I75" s="2" t="s">
        <v>249</v>
      </c>
      <c r="J75" s="7" t="s">
        <v>19</v>
      </c>
    </row>
    <row r="76" customFormat="false" ht="15" hidden="false" customHeight="false" outlineLevel="0" collapsed="false">
      <c r="A76" s="2" t="s">
        <v>10</v>
      </c>
      <c r="B76" s="3" t="s">
        <v>250</v>
      </c>
      <c r="C76" s="4" t="s">
        <v>251</v>
      </c>
      <c r="D76" s="2" t="s">
        <v>247</v>
      </c>
      <c r="E76" s="2" t="s">
        <v>248</v>
      </c>
      <c r="F76" s="5" t="s">
        <v>15</v>
      </c>
      <c r="G76" s="6" t="s">
        <v>16</v>
      </c>
      <c r="H76" s="2" t="s">
        <v>17</v>
      </c>
      <c r="I76" s="2" t="s">
        <v>252</v>
      </c>
      <c r="J76" s="7" t="s">
        <v>19</v>
      </c>
    </row>
    <row r="77" customFormat="false" ht="15" hidden="false" customHeight="false" outlineLevel="0" collapsed="false">
      <c r="A77" s="2" t="s">
        <v>10</v>
      </c>
      <c r="B77" s="3" t="s">
        <v>253</v>
      </c>
      <c r="C77" s="4" t="s">
        <v>254</v>
      </c>
      <c r="D77" s="2" t="s">
        <v>247</v>
      </c>
      <c r="E77" s="2" t="s">
        <v>248</v>
      </c>
      <c r="F77" s="5" t="s">
        <v>15</v>
      </c>
      <c r="G77" s="6" t="s">
        <v>16</v>
      </c>
      <c r="H77" s="2" t="s">
        <v>17</v>
      </c>
      <c r="I77" s="2" t="s">
        <v>255</v>
      </c>
      <c r="J77" s="7" t="s">
        <v>19</v>
      </c>
    </row>
    <row r="78" customFormat="false" ht="15" hidden="false" customHeight="false" outlineLevel="0" collapsed="false">
      <c r="A78" s="2" t="s">
        <v>10</v>
      </c>
      <c r="B78" s="3" t="s">
        <v>256</v>
      </c>
      <c r="C78" s="4" t="s">
        <v>257</v>
      </c>
      <c r="D78" s="2" t="s">
        <v>247</v>
      </c>
      <c r="E78" s="2" t="s">
        <v>258</v>
      </c>
      <c r="F78" s="8" t="s">
        <v>38</v>
      </c>
      <c r="G78" s="6" t="s">
        <v>16</v>
      </c>
      <c r="H78" s="2" t="s">
        <v>17</v>
      </c>
      <c r="I78" s="4" t="s">
        <v>259</v>
      </c>
      <c r="J78" s="7" t="s">
        <v>19</v>
      </c>
    </row>
    <row r="79" customFormat="false" ht="15" hidden="false" customHeight="false" outlineLevel="0" collapsed="false">
      <c r="A79" s="2" t="s">
        <v>10</v>
      </c>
      <c r="B79" s="3" t="s">
        <v>260</v>
      </c>
      <c r="C79" s="4" t="s">
        <v>261</v>
      </c>
      <c r="D79" s="2" t="s">
        <v>247</v>
      </c>
      <c r="E79" s="2" t="s">
        <v>258</v>
      </c>
      <c r="F79" s="8" t="s">
        <v>38</v>
      </c>
      <c r="G79" s="6" t="s">
        <v>16</v>
      </c>
      <c r="H79" s="2" t="s">
        <v>17</v>
      </c>
      <c r="I79" s="4" t="s">
        <v>262</v>
      </c>
      <c r="J79" s="7" t="s">
        <v>19</v>
      </c>
    </row>
    <row r="80" customFormat="false" ht="15" hidden="false" customHeight="false" outlineLevel="0" collapsed="false">
      <c r="A80" s="2" t="s">
        <v>10</v>
      </c>
      <c r="B80" s="3" t="s">
        <v>263</v>
      </c>
      <c r="C80" s="4" t="s">
        <v>264</v>
      </c>
      <c r="D80" s="2" t="s">
        <v>247</v>
      </c>
      <c r="E80" s="2" t="s">
        <v>258</v>
      </c>
      <c r="F80" s="5" t="s">
        <v>15</v>
      </c>
      <c r="G80" s="6" t="s">
        <v>16</v>
      </c>
      <c r="H80" s="2" t="s">
        <v>17</v>
      </c>
      <c r="I80" s="2" t="s">
        <v>265</v>
      </c>
      <c r="J80" s="7" t="s">
        <v>19</v>
      </c>
    </row>
    <row r="81" customFormat="false" ht="15" hidden="false" customHeight="false" outlineLevel="0" collapsed="false">
      <c r="A81" s="2" t="s">
        <v>10</v>
      </c>
      <c r="B81" s="3" t="s">
        <v>266</v>
      </c>
      <c r="C81" s="4" t="s">
        <v>267</v>
      </c>
      <c r="D81" s="2" t="s">
        <v>247</v>
      </c>
      <c r="E81" s="2" t="s">
        <v>258</v>
      </c>
      <c r="F81" s="8" t="s">
        <v>38</v>
      </c>
      <c r="G81" s="6" t="s">
        <v>16</v>
      </c>
      <c r="H81" s="2" t="s">
        <v>17</v>
      </c>
      <c r="I81" s="2" t="s">
        <v>268</v>
      </c>
      <c r="J81" s="7" t="s">
        <v>19</v>
      </c>
    </row>
    <row r="82" customFormat="false" ht="15" hidden="false" customHeight="false" outlineLevel="0" collapsed="false">
      <c r="A82" s="2" t="s">
        <v>10</v>
      </c>
      <c r="B82" s="3" t="s">
        <v>269</v>
      </c>
      <c r="C82" s="4" t="s">
        <v>270</v>
      </c>
      <c r="D82" s="2" t="s">
        <v>247</v>
      </c>
      <c r="E82" s="2" t="s">
        <v>271</v>
      </c>
      <c r="F82" s="8" t="s">
        <v>38</v>
      </c>
      <c r="G82" s="6" t="s">
        <v>16</v>
      </c>
      <c r="H82" s="2" t="s">
        <v>17</v>
      </c>
      <c r="I82" s="2" t="s">
        <v>272</v>
      </c>
      <c r="J82" s="7" t="s">
        <v>19</v>
      </c>
    </row>
    <row r="83" customFormat="false" ht="15" hidden="false" customHeight="false" outlineLevel="0" collapsed="false">
      <c r="A83" s="2" t="s">
        <v>10</v>
      </c>
      <c r="B83" s="3" t="s">
        <v>273</v>
      </c>
      <c r="C83" s="4" t="s">
        <v>274</v>
      </c>
      <c r="D83" s="2" t="s">
        <v>247</v>
      </c>
      <c r="E83" s="2" t="s">
        <v>271</v>
      </c>
      <c r="F83" s="8" t="s">
        <v>38</v>
      </c>
      <c r="G83" s="6" t="s">
        <v>16</v>
      </c>
      <c r="H83" s="2" t="s">
        <v>17</v>
      </c>
      <c r="I83" s="2" t="s">
        <v>275</v>
      </c>
      <c r="J83" s="7" t="s">
        <v>19</v>
      </c>
    </row>
    <row r="84" customFormat="false" ht="15" hidden="false" customHeight="false" outlineLevel="0" collapsed="false">
      <c r="A84" s="2" t="s">
        <v>10</v>
      </c>
      <c r="B84" s="3" t="s">
        <v>276</v>
      </c>
      <c r="C84" s="4" t="s">
        <v>277</v>
      </c>
      <c r="D84" s="2" t="s">
        <v>247</v>
      </c>
      <c r="E84" s="2" t="s">
        <v>278</v>
      </c>
      <c r="F84" s="5" t="s">
        <v>15</v>
      </c>
      <c r="G84" s="6" t="s">
        <v>16</v>
      </c>
      <c r="H84" s="2" t="s">
        <v>17</v>
      </c>
      <c r="I84" s="2" t="s">
        <v>279</v>
      </c>
      <c r="J84" s="7" t="s">
        <v>19</v>
      </c>
    </row>
    <row r="85" customFormat="false" ht="15" hidden="false" customHeight="false" outlineLevel="0" collapsed="false">
      <c r="A85" s="2" t="s">
        <v>50</v>
      </c>
      <c r="B85" s="3" t="s">
        <v>280</v>
      </c>
      <c r="C85" s="2" t="s">
        <v>281</v>
      </c>
      <c r="D85" s="2" t="s">
        <v>247</v>
      </c>
      <c r="E85" s="2" t="s">
        <v>282</v>
      </c>
      <c r="F85" s="9" t="s">
        <v>54</v>
      </c>
      <c r="G85" s="6" t="s">
        <v>16</v>
      </c>
      <c r="H85" s="2" t="s">
        <v>17</v>
      </c>
      <c r="I85" s="2" t="s">
        <v>283</v>
      </c>
      <c r="J85" s="7" t="s">
        <v>19</v>
      </c>
    </row>
    <row r="86" customFormat="false" ht="15" hidden="false" customHeight="false" outlineLevel="0" collapsed="false">
      <c r="A86" s="2" t="s">
        <v>50</v>
      </c>
      <c r="B86" s="3" t="s">
        <v>284</v>
      </c>
      <c r="C86" s="2" t="s">
        <v>285</v>
      </c>
      <c r="D86" s="2" t="s">
        <v>247</v>
      </c>
      <c r="E86" s="2" t="s">
        <v>282</v>
      </c>
      <c r="F86" s="9" t="s">
        <v>54</v>
      </c>
      <c r="G86" s="6" t="s">
        <v>16</v>
      </c>
      <c r="H86" s="2" t="s">
        <v>17</v>
      </c>
      <c r="I86" s="2" t="s">
        <v>286</v>
      </c>
      <c r="J86" s="7" t="s">
        <v>19</v>
      </c>
    </row>
    <row r="87" customFormat="false" ht="15" hidden="false" customHeight="false" outlineLevel="0" collapsed="false">
      <c r="A87" s="2" t="s">
        <v>50</v>
      </c>
      <c r="B87" s="3" t="s">
        <v>287</v>
      </c>
      <c r="C87" s="2" t="s">
        <v>288</v>
      </c>
      <c r="D87" s="2" t="s">
        <v>247</v>
      </c>
      <c r="E87" s="2" t="s">
        <v>282</v>
      </c>
      <c r="F87" s="5" t="s">
        <v>15</v>
      </c>
      <c r="G87" s="6" t="s">
        <v>16</v>
      </c>
      <c r="H87" s="2" t="s">
        <v>17</v>
      </c>
      <c r="I87" s="2" t="s">
        <v>289</v>
      </c>
      <c r="J87" s="7" t="s">
        <v>19</v>
      </c>
    </row>
    <row r="88" customFormat="false" ht="15" hidden="false" customHeight="false" outlineLevel="0" collapsed="false">
      <c r="A88" s="2" t="s">
        <v>50</v>
      </c>
      <c r="B88" s="3" t="s">
        <v>290</v>
      </c>
      <c r="C88" s="2" t="s">
        <v>291</v>
      </c>
      <c r="D88" s="2" t="s">
        <v>247</v>
      </c>
      <c r="E88" s="2" t="s">
        <v>282</v>
      </c>
      <c r="F88" s="5" t="s">
        <v>15</v>
      </c>
      <c r="G88" s="6" t="s">
        <v>16</v>
      </c>
      <c r="H88" s="2" t="s">
        <v>17</v>
      </c>
      <c r="I88" s="2" t="s">
        <v>272</v>
      </c>
      <c r="J88" s="7" t="s">
        <v>19</v>
      </c>
    </row>
    <row r="89" customFormat="false" ht="15" hidden="false" customHeight="false" outlineLevel="0" collapsed="false">
      <c r="A89" s="2" t="s">
        <v>10</v>
      </c>
      <c r="B89" s="3" t="s">
        <v>292</v>
      </c>
      <c r="C89" s="4" t="s">
        <v>293</v>
      </c>
      <c r="D89" s="2" t="s">
        <v>294</v>
      </c>
      <c r="E89" s="2" t="s">
        <v>295</v>
      </c>
      <c r="F89" s="5" t="s">
        <v>15</v>
      </c>
      <c r="G89" s="6" t="s">
        <v>16</v>
      </c>
      <c r="H89" s="2" t="s">
        <v>17</v>
      </c>
      <c r="I89" s="2" t="s">
        <v>296</v>
      </c>
      <c r="J89" s="7" t="s">
        <v>19</v>
      </c>
    </row>
    <row r="90" customFormat="false" ht="15" hidden="false" customHeight="false" outlineLevel="0" collapsed="false">
      <c r="A90" s="2" t="s">
        <v>10</v>
      </c>
      <c r="B90" s="3" t="s">
        <v>297</v>
      </c>
      <c r="C90" s="4" t="s">
        <v>298</v>
      </c>
      <c r="D90" s="2" t="s">
        <v>294</v>
      </c>
      <c r="E90" s="2" t="s">
        <v>295</v>
      </c>
      <c r="F90" s="5" t="s">
        <v>15</v>
      </c>
      <c r="G90" s="6" t="s">
        <v>16</v>
      </c>
      <c r="H90" s="2" t="s">
        <v>17</v>
      </c>
      <c r="I90" s="2" t="s">
        <v>299</v>
      </c>
      <c r="J90" s="7" t="s">
        <v>19</v>
      </c>
    </row>
    <row r="91" customFormat="false" ht="15" hidden="false" customHeight="false" outlineLevel="0" collapsed="false">
      <c r="A91" s="2" t="s">
        <v>50</v>
      </c>
      <c r="B91" s="3" t="s">
        <v>300</v>
      </c>
      <c r="C91" s="2" t="s">
        <v>301</v>
      </c>
      <c r="D91" s="2" t="s">
        <v>294</v>
      </c>
      <c r="E91" s="2" t="s">
        <v>302</v>
      </c>
      <c r="F91" s="9" t="s">
        <v>54</v>
      </c>
      <c r="G91" s="6" t="s">
        <v>16</v>
      </c>
      <c r="H91" s="2" t="s">
        <v>17</v>
      </c>
      <c r="I91" s="2" t="s">
        <v>303</v>
      </c>
      <c r="J91" s="7" t="s">
        <v>19</v>
      </c>
    </row>
    <row r="92" customFormat="false" ht="15" hidden="false" customHeight="false" outlineLevel="0" collapsed="false">
      <c r="A92" s="2" t="s">
        <v>50</v>
      </c>
      <c r="B92" s="3" t="s">
        <v>304</v>
      </c>
      <c r="C92" s="2" t="s">
        <v>305</v>
      </c>
      <c r="D92" s="2" t="s">
        <v>294</v>
      </c>
      <c r="E92" s="2" t="s">
        <v>302</v>
      </c>
      <c r="F92" s="9" t="s">
        <v>54</v>
      </c>
      <c r="G92" s="6" t="s">
        <v>16</v>
      </c>
      <c r="H92" s="2" t="s">
        <v>17</v>
      </c>
      <c r="I92" s="2" t="s">
        <v>306</v>
      </c>
      <c r="J92" s="7" t="s">
        <v>19</v>
      </c>
    </row>
    <row r="93" customFormat="false" ht="15" hidden="false" customHeight="false" outlineLevel="0" collapsed="false">
      <c r="A93" s="2" t="s">
        <v>50</v>
      </c>
      <c r="B93" s="3" t="s">
        <v>307</v>
      </c>
      <c r="C93" s="2" t="s">
        <v>308</v>
      </c>
      <c r="D93" s="2" t="s">
        <v>294</v>
      </c>
      <c r="E93" s="2" t="s">
        <v>302</v>
      </c>
      <c r="F93" s="8" t="s">
        <v>38</v>
      </c>
      <c r="G93" s="6" t="s">
        <v>16</v>
      </c>
      <c r="H93" s="2" t="s">
        <v>17</v>
      </c>
      <c r="I93" s="2" t="s">
        <v>309</v>
      </c>
      <c r="J93" s="7" t="s">
        <v>19</v>
      </c>
    </row>
    <row r="94" customFormat="false" ht="15" hidden="false" customHeight="false" outlineLevel="0" collapsed="false">
      <c r="A94" s="2" t="s">
        <v>50</v>
      </c>
      <c r="B94" s="3" t="s">
        <v>310</v>
      </c>
      <c r="C94" s="2" t="s">
        <v>311</v>
      </c>
      <c r="D94" s="2" t="s">
        <v>294</v>
      </c>
      <c r="E94" s="2" t="s">
        <v>302</v>
      </c>
      <c r="F94" s="8" t="s">
        <v>38</v>
      </c>
      <c r="G94" s="6" t="s">
        <v>16</v>
      </c>
      <c r="H94" s="2" t="s">
        <v>17</v>
      </c>
      <c r="I94" s="2" t="s">
        <v>312</v>
      </c>
      <c r="J94" s="7" t="s">
        <v>19</v>
      </c>
    </row>
    <row r="95" customFormat="false" ht="15" hidden="false" customHeight="false" outlineLevel="0" collapsed="false">
      <c r="A95" s="2" t="s">
        <v>50</v>
      </c>
      <c r="B95" s="3" t="s">
        <v>313</v>
      </c>
      <c r="C95" s="2" t="s">
        <v>314</v>
      </c>
      <c r="D95" s="2" t="s">
        <v>294</v>
      </c>
      <c r="E95" s="2" t="s">
        <v>302</v>
      </c>
      <c r="F95" s="8" t="s">
        <v>38</v>
      </c>
      <c r="G95" s="6" t="s">
        <v>16</v>
      </c>
      <c r="H95" s="2" t="s">
        <v>17</v>
      </c>
      <c r="I95" s="2" t="s">
        <v>315</v>
      </c>
      <c r="J95" s="7" t="s">
        <v>19</v>
      </c>
    </row>
    <row r="96" customFormat="false" ht="15" hidden="false" customHeight="false" outlineLevel="0" collapsed="false">
      <c r="A96" s="2" t="s">
        <v>50</v>
      </c>
      <c r="B96" s="3" t="s">
        <v>316</v>
      </c>
      <c r="C96" s="2" t="s">
        <v>317</v>
      </c>
      <c r="D96" s="2" t="s">
        <v>294</v>
      </c>
      <c r="E96" s="2" t="s">
        <v>302</v>
      </c>
      <c r="F96" s="5" t="s">
        <v>15</v>
      </c>
      <c r="G96" s="6" t="s">
        <v>16</v>
      </c>
      <c r="H96" s="2" t="s">
        <v>17</v>
      </c>
      <c r="I96" s="2" t="s">
        <v>318</v>
      </c>
      <c r="J96" s="7" t="s">
        <v>19</v>
      </c>
    </row>
    <row r="97" customFormat="false" ht="15" hidden="false" customHeight="false" outlineLevel="0" collapsed="false">
      <c r="A97" s="2" t="s">
        <v>50</v>
      </c>
      <c r="B97" s="3" t="s">
        <v>319</v>
      </c>
      <c r="C97" s="2" t="s">
        <v>320</v>
      </c>
      <c r="D97" s="2" t="s">
        <v>294</v>
      </c>
      <c r="E97" s="2" t="s">
        <v>302</v>
      </c>
      <c r="F97" s="8" t="s">
        <v>38</v>
      </c>
      <c r="G97" s="6" t="s">
        <v>16</v>
      </c>
      <c r="H97" s="2" t="s">
        <v>17</v>
      </c>
      <c r="I97" s="4" t="s">
        <v>321</v>
      </c>
      <c r="J97" s="7" t="s">
        <v>19</v>
      </c>
    </row>
    <row r="98" customFormat="false" ht="15" hidden="false" customHeight="false" outlineLevel="0" collapsed="false">
      <c r="A98" s="2" t="s">
        <v>50</v>
      </c>
      <c r="B98" s="3" t="s">
        <v>322</v>
      </c>
      <c r="C98" s="2" t="s">
        <v>323</v>
      </c>
      <c r="D98" s="2" t="s">
        <v>294</v>
      </c>
      <c r="E98" s="2" t="s">
        <v>302</v>
      </c>
      <c r="F98" s="8" t="s">
        <v>38</v>
      </c>
      <c r="G98" s="6" t="s">
        <v>16</v>
      </c>
      <c r="H98" s="2" t="s">
        <v>17</v>
      </c>
      <c r="I98" s="2" t="s">
        <v>324</v>
      </c>
      <c r="J98" s="7" t="s">
        <v>19</v>
      </c>
    </row>
    <row r="99" customFormat="false" ht="15" hidden="false" customHeight="false" outlineLevel="0" collapsed="false">
      <c r="A99" s="2" t="s">
        <v>50</v>
      </c>
      <c r="B99" s="3" t="s">
        <v>325</v>
      </c>
      <c r="C99" s="2" t="s">
        <v>326</v>
      </c>
      <c r="D99" s="2" t="s">
        <v>294</v>
      </c>
      <c r="E99" s="2" t="s">
        <v>302</v>
      </c>
      <c r="F99" s="8" t="s">
        <v>38</v>
      </c>
      <c r="G99" s="6" t="s">
        <v>16</v>
      </c>
      <c r="H99" s="2" t="s">
        <v>17</v>
      </c>
      <c r="I99" s="2" t="s">
        <v>327</v>
      </c>
      <c r="J99" s="7" t="s">
        <v>19</v>
      </c>
    </row>
    <row r="100" customFormat="false" ht="15" hidden="false" customHeight="false" outlineLevel="0" collapsed="false">
      <c r="A100" s="2" t="s">
        <v>10</v>
      </c>
      <c r="B100" s="3" t="s">
        <v>328</v>
      </c>
      <c r="C100" s="4" t="s">
        <v>329</v>
      </c>
      <c r="D100" s="2" t="s">
        <v>330</v>
      </c>
      <c r="E100" s="2" t="s">
        <v>331</v>
      </c>
      <c r="F100" s="8" t="s">
        <v>38</v>
      </c>
      <c r="G100" s="6" t="s">
        <v>16</v>
      </c>
      <c r="H100" s="2" t="s">
        <v>330</v>
      </c>
      <c r="I100" s="2" t="s">
        <v>332</v>
      </c>
      <c r="J100" s="7" t="s">
        <v>19</v>
      </c>
    </row>
    <row r="101" customFormat="false" ht="15" hidden="false" customHeight="false" outlineLevel="0" collapsed="false">
      <c r="A101" s="2" t="s">
        <v>10</v>
      </c>
      <c r="B101" s="3" t="s">
        <v>333</v>
      </c>
      <c r="C101" s="4" t="s">
        <v>334</v>
      </c>
      <c r="D101" s="2" t="s">
        <v>330</v>
      </c>
      <c r="E101" s="2" t="s">
        <v>335</v>
      </c>
      <c r="F101" s="8" t="s">
        <v>38</v>
      </c>
      <c r="G101" s="6" t="s">
        <v>16</v>
      </c>
      <c r="H101" s="2" t="s">
        <v>330</v>
      </c>
      <c r="I101" s="4" t="s">
        <v>336</v>
      </c>
      <c r="J101" s="7" t="s">
        <v>19</v>
      </c>
    </row>
    <row r="102" customFormat="false" ht="15" hidden="false" customHeight="false" outlineLevel="0" collapsed="false">
      <c r="A102" s="2" t="s">
        <v>10</v>
      </c>
      <c r="B102" s="3" t="s">
        <v>337</v>
      </c>
      <c r="C102" s="4" t="s">
        <v>338</v>
      </c>
      <c r="D102" s="2" t="s">
        <v>330</v>
      </c>
      <c r="E102" s="2" t="s">
        <v>335</v>
      </c>
      <c r="F102" s="8" t="s">
        <v>38</v>
      </c>
      <c r="G102" s="6" t="s">
        <v>16</v>
      </c>
      <c r="H102" s="2" t="s">
        <v>330</v>
      </c>
      <c r="I102" s="2" t="s">
        <v>339</v>
      </c>
      <c r="J102" s="7" t="s">
        <v>19</v>
      </c>
    </row>
    <row r="103" customFormat="false" ht="15" hidden="false" customHeight="false" outlineLevel="0" collapsed="false">
      <c r="A103" s="2" t="s">
        <v>10</v>
      </c>
      <c r="B103" s="3" t="s">
        <v>340</v>
      </c>
      <c r="C103" s="4" t="s">
        <v>341</v>
      </c>
      <c r="D103" s="2" t="s">
        <v>330</v>
      </c>
      <c r="E103" s="2" t="s">
        <v>335</v>
      </c>
      <c r="F103" s="8" t="s">
        <v>38</v>
      </c>
      <c r="G103" s="6" t="s">
        <v>16</v>
      </c>
      <c r="H103" s="2" t="s">
        <v>330</v>
      </c>
      <c r="I103" s="2" t="s">
        <v>342</v>
      </c>
      <c r="J103" s="7" t="s">
        <v>19</v>
      </c>
    </row>
    <row r="104" customFormat="false" ht="15" hidden="false" customHeight="false" outlineLevel="0" collapsed="false">
      <c r="A104" s="2" t="s">
        <v>10</v>
      </c>
      <c r="B104" s="3" t="s">
        <v>343</v>
      </c>
      <c r="C104" s="4" t="s">
        <v>344</v>
      </c>
      <c r="D104" s="2" t="s">
        <v>330</v>
      </c>
      <c r="E104" s="2" t="s">
        <v>335</v>
      </c>
      <c r="F104" s="9" t="s">
        <v>54</v>
      </c>
      <c r="G104" s="6" t="s">
        <v>16</v>
      </c>
      <c r="H104" s="2" t="s">
        <v>330</v>
      </c>
      <c r="I104" s="2" t="s">
        <v>345</v>
      </c>
      <c r="J104" s="7" t="s">
        <v>19</v>
      </c>
    </row>
    <row r="105" customFormat="false" ht="15" hidden="false" customHeight="false" outlineLevel="0" collapsed="false">
      <c r="A105" s="2" t="s">
        <v>10</v>
      </c>
      <c r="B105" s="3" t="s">
        <v>346</v>
      </c>
      <c r="C105" s="4" t="s">
        <v>347</v>
      </c>
      <c r="D105" s="2" t="s">
        <v>330</v>
      </c>
      <c r="E105" s="4" t="s">
        <v>348</v>
      </c>
      <c r="F105" s="5" t="s">
        <v>15</v>
      </c>
      <c r="G105" s="6" t="s">
        <v>16</v>
      </c>
      <c r="H105" s="2" t="s">
        <v>330</v>
      </c>
      <c r="I105" s="4" t="s">
        <v>349</v>
      </c>
      <c r="J105" s="7" t="s">
        <v>19</v>
      </c>
    </row>
    <row r="106" customFormat="false" ht="15" hidden="false" customHeight="false" outlineLevel="0" collapsed="false">
      <c r="A106" s="2" t="s">
        <v>50</v>
      </c>
      <c r="B106" s="3" t="s">
        <v>350</v>
      </c>
      <c r="C106" s="2" t="s">
        <v>351</v>
      </c>
      <c r="D106" s="2" t="s">
        <v>330</v>
      </c>
      <c r="E106" s="2" t="s">
        <v>352</v>
      </c>
      <c r="F106" s="9" t="s">
        <v>54</v>
      </c>
      <c r="G106" s="6" t="s">
        <v>16</v>
      </c>
      <c r="H106" s="2" t="s">
        <v>330</v>
      </c>
      <c r="I106" s="2" t="s">
        <v>353</v>
      </c>
      <c r="J106" s="7" t="s">
        <v>19</v>
      </c>
    </row>
    <row r="107" customFormat="false" ht="15" hidden="false" customHeight="false" outlineLevel="0" collapsed="false">
      <c r="A107" s="2" t="s">
        <v>50</v>
      </c>
      <c r="B107" s="3" t="s">
        <v>354</v>
      </c>
      <c r="C107" s="2" t="s">
        <v>355</v>
      </c>
      <c r="D107" s="2" t="s">
        <v>330</v>
      </c>
      <c r="E107" s="2" t="s">
        <v>352</v>
      </c>
      <c r="F107" s="5" t="s">
        <v>15</v>
      </c>
      <c r="G107" s="6" t="s">
        <v>16</v>
      </c>
      <c r="H107" s="2" t="s">
        <v>330</v>
      </c>
      <c r="I107" s="4" t="s">
        <v>356</v>
      </c>
      <c r="J107" s="7" t="s">
        <v>19</v>
      </c>
    </row>
    <row r="108" customFormat="false" ht="15" hidden="false" customHeight="false" outlineLevel="0" collapsed="false">
      <c r="A108" s="2" t="s">
        <v>50</v>
      </c>
      <c r="B108" s="3" t="s">
        <v>357</v>
      </c>
      <c r="C108" s="2" t="s">
        <v>358</v>
      </c>
      <c r="D108" s="2" t="s">
        <v>330</v>
      </c>
      <c r="E108" s="2" t="s">
        <v>352</v>
      </c>
      <c r="F108" s="5" t="s">
        <v>15</v>
      </c>
      <c r="G108" s="6" t="s">
        <v>16</v>
      </c>
      <c r="H108" s="2" t="s">
        <v>330</v>
      </c>
      <c r="I108" s="2" t="s">
        <v>359</v>
      </c>
      <c r="J108" s="7" t="s">
        <v>19</v>
      </c>
    </row>
    <row r="109" customFormat="false" ht="15" hidden="false" customHeight="false" outlineLevel="0" collapsed="false">
      <c r="A109" s="2" t="s">
        <v>50</v>
      </c>
      <c r="B109" s="3" t="s">
        <v>360</v>
      </c>
      <c r="C109" s="2" t="s">
        <v>361</v>
      </c>
      <c r="D109" s="2" t="s">
        <v>330</v>
      </c>
      <c r="E109" s="2" t="s">
        <v>352</v>
      </c>
      <c r="F109" s="8" t="s">
        <v>38</v>
      </c>
      <c r="G109" s="6" t="s">
        <v>16</v>
      </c>
      <c r="H109" s="2" t="s">
        <v>330</v>
      </c>
      <c r="I109" s="2" t="s">
        <v>362</v>
      </c>
      <c r="J109" s="7" t="s">
        <v>19</v>
      </c>
    </row>
    <row r="110" customFormat="false" ht="15" hidden="false" customHeight="false" outlineLevel="0" collapsed="false">
      <c r="A110" s="2" t="s">
        <v>50</v>
      </c>
      <c r="B110" s="3" t="s">
        <v>363</v>
      </c>
      <c r="C110" s="2" t="s">
        <v>364</v>
      </c>
      <c r="D110" s="2" t="s">
        <v>330</v>
      </c>
      <c r="E110" s="2" t="s">
        <v>352</v>
      </c>
      <c r="F110" s="8" t="s">
        <v>38</v>
      </c>
      <c r="G110" s="6" t="s">
        <v>16</v>
      </c>
      <c r="H110" s="2" t="s">
        <v>330</v>
      </c>
      <c r="I110" s="2" t="s">
        <v>365</v>
      </c>
      <c r="J110" s="7" t="s">
        <v>19</v>
      </c>
    </row>
    <row r="111" customFormat="false" ht="15" hidden="false" customHeight="false" outlineLevel="0" collapsed="false">
      <c r="A111" s="2" t="s">
        <v>50</v>
      </c>
      <c r="B111" s="3" t="s">
        <v>366</v>
      </c>
      <c r="C111" s="2" t="s">
        <v>367</v>
      </c>
      <c r="D111" s="2" t="s">
        <v>330</v>
      </c>
      <c r="E111" s="2" t="s">
        <v>352</v>
      </c>
      <c r="F111" s="8" t="s">
        <v>38</v>
      </c>
      <c r="G111" s="6" t="s">
        <v>16</v>
      </c>
      <c r="H111" s="2" t="s">
        <v>330</v>
      </c>
      <c r="I111" s="2" t="s">
        <v>368</v>
      </c>
      <c r="J111" s="7" t="s">
        <v>19</v>
      </c>
    </row>
    <row r="112" customFormat="false" ht="15" hidden="false" customHeight="false" outlineLevel="0" collapsed="false">
      <c r="A112" s="2" t="s">
        <v>10</v>
      </c>
      <c r="B112" s="3" t="s">
        <v>369</v>
      </c>
      <c r="C112" s="4" t="s">
        <v>370</v>
      </c>
      <c r="D112" s="2" t="s">
        <v>371</v>
      </c>
      <c r="E112" s="2" t="s">
        <v>372</v>
      </c>
      <c r="F112" s="8" t="s">
        <v>38</v>
      </c>
      <c r="G112" s="6" t="s">
        <v>16</v>
      </c>
      <c r="H112" s="2" t="s">
        <v>17</v>
      </c>
      <c r="I112" s="2" t="s">
        <v>373</v>
      </c>
      <c r="J112" s="7" t="s">
        <v>19</v>
      </c>
    </row>
    <row r="113" customFormat="false" ht="15" hidden="false" customHeight="false" outlineLevel="0" collapsed="false">
      <c r="A113" s="2" t="s">
        <v>10</v>
      </c>
      <c r="B113" s="3" t="s">
        <v>374</v>
      </c>
      <c r="C113" s="4" t="s">
        <v>375</v>
      </c>
      <c r="D113" s="2" t="s">
        <v>371</v>
      </c>
      <c r="E113" s="2" t="s">
        <v>376</v>
      </c>
      <c r="F113" s="5" t="s">
        <v>15</v>
      </c>
      <c r="G113" s="6" t="s">
        <v>16</v>
      </c>
      <c r="H113" s="2" t="s">
        <v>17</v>
      </c>
      <c r="I113" s="2" t="s">
        <v>377</v>
      </c>
      <c r="J113" s="7" t="s">
        <v>19</v>
      </c>
    </row>
    <row r="114" customFormat="false" ht="15" hidden="false" customHeight="false" outlineLevel="0" collapsed="false">
      <c r="A114" s="2" t="s">
        <v>10</v>
      </c>
      <c r="B114" s="3" t="s">
        <v>378</v>
      </c>
      <c r="C114" s="4" t="s">
        <v>379</v>
      </c>
      <c r="D114" s="2" t="s">
        <v>371</v>
      </c>
      <c r="E114" s="2" t="s">
        <v>376</v>
      </c>
      <c r="F114" s="8" t="s">
        <v>38</v>
      </c>
      <c r="G114" s="6" t="s">
        <v>16</v>
      </c>
      <c r="H114" s="2" t="s">
        <v>17</v>
      </c>
      <c r="I114" s="2" t="s">
        <v>380</v>
      </c>
      <c r="J114" s="7" t="s">
        <v>19</v>
      </c>
    </row>
    <row r="115" customFormat="false" ht="15" hidden="false" customHeight="false" outlineLevel="0" collapsed="false">
      <c r="A115" s="2" t="s">
        <v>10</v>
      </c>
      <c r="B115" s="3" t="s">
        <v>381</v>
      </c>
      <c r="C115" s="2" t="s">
        <v>382</v>
      </c>
      <c r="D115" s="2" t="s">
        <v>13</v>
      </c>
      <c r="E115" s="2" t="s">
        <v>53</v>
      </c>
      <c r="F115" s="9" t="s">
        <v>54</v>
      </c>
      <c r="G115" s="10" t="s">
        <v>383</v>
      </c>
      <c r="H115" s="2" t="s">
        <v>17</v>
      </c>
      <c r="I115" s="2" t="s">
        <v>384</v>
      </c>
      <c r="J115" s="7" t="s">
        <v>19</v>
      </c>
    </row>
    <row r="116" customFormat="false" ht="15" hidden="false" customHeight="false" outlineLevel="0" collapsed="false">
      <c r="A116" s="2" t="s">
        <v>10</v>
      </c>
      <c r="B116" s="3" t="s">
        <v>385</v>
      </c>
      <c r="C116" s="4" t="s">
        <v>386</v>
      </c>
      <c r="D116" s="2" t="s">
        <v>13</v>
      </c>
      <c r="E116" s="2" t="s">
        <v>53</v>
      </c>
      <c r="F116" s="5" t="s">
        <v>15</v>
      </c>
      <c r="G116" s="10" t="s">
        <v>383</v>
      </c>
      <c r="H116" s="2" t="s">
        <v>17</v>
      </c>
      <c r="I116" s="2" t="s">
        <v>387</v>
      </c>
      <c r="J116" s="7" t="s">
        <v>19</v>
      </c>
    </row>
    <row r="117" customFormat="false" ht="15" hidden="false" customHeight="false" outlineLevel="0" collapsed="false">
      <c r="A117" s="2" t="s">
        <v>10</v>
      </c>
      <c r="B117" s="3" t="s">
        <v>388</v>
      </c>
      <c r="C117" s="4" t="s">
        <v>389</v>
      </c>
      <c r="D117" s="2" t="s">
        <v>13</v>
      </c>
      <c r="E117" s="2" t="s">
        <v>53</v>
      </c>
      <c r="F117" s="5" t="s">
        <v>15</v>
      </c>
      <c r="G117" s="10" t="s">
        <v>383</v>
      </c>
      <c r="H117" s="2" t="s">
        <v>17</v>
      </c>
      <c r="I117" s="2" t="s">
        <v>390</v>
      </c>
      <c r="J117" s="7" t="s">
        <v>19</v>
      </c>
    </row>
    <row r="118" customFormat="false" ht="15" hidden="false" customHeight="false" outlineLevel="0" collapsed="false">
      <c r="A118" s="2" t="s">
        <v>10</v>
      </c>
      <c r="B118" s="3" t="s">
        <v>391</v>
      </c>
      <c r="C118" s="4" t="s">
        <v>392</v>
      </c>
      <c r="D118" s="2" t="s">
        <v>13</v>
      </c>
      <c r="E118" s="2" t="s">
        <v>53</v>
      </c>
      <c r="F118" s="5" t="s">
        <v>15</v>
      </c>
      <c r="G118" s="10" t="s">
        <v>383</v>
      </c>
      <c r="H118" s="2" t="s">
        <v>17</v>
      </c>
      <c r="I118" s="2" t="s">
        <v>390</v>
      </c>
      <c r="J118" s="7" t="s">
        <v>19</v>
      </c>
    </row>
    <row r="119" customFormat="false" ht="15" hidden="false" customHeight="false" outlineLevel="0" collapsed="false">
      <c r="A119" s="2" t="s">
        <v>10</v>
      </c>
      <c r="B119" s="3" t="s">
        <v>393</v>
      </c>
      <c r="C119" s="2" t="s">
        <v>394</v>
      </c>
      <c r="D119" s="2" t="s">
        <v>13</v>
      </c>
      <c r="E119" s="2" t="s">
        <v>14</v>
      </c>
      <c r="F119" s="9" t="s">
        <v>54</v>
      </c>
      <c r="G119" s="10" t="s">
        <v>383</v>
      </c>
      <c r="H119" s="2" t="s">
        <v>17</v>
      </c>
      <c r="I119" s="2" t="s">
        <v>395</v>
      </c>
      <c r="J119" s="7" t="s">
        <v>19</v>
      </c>
    </row>
    <row r="120" customFormat="false" ht="15" hidden="false" customHeight="false" outlineLevel="0" collapsed="false">
      <c r="A120" s="2" t="s">
        <v>10</v>
      </c>
      <c r="B120" s="3" t="s">
        <v>396</v>
      </c>
      <c r="C120" s="2" t="s">
        <v>397</v>
      </c>
      <c r="D120" s="2" t="s">
        <v>13</v>
      </c>
      <c r="E120" s="2" t="s">
        <v>14</v>
      </c>
      <c r="F120" s="9" t="s">
        <v>54</v>
      </c>
      <c r="G120" s="10" t="s">
        <v>383</v>
      </c>
      <c r="H120" s="2" t="s">
        <v>17</v>
      </c>
      <c r="I120" s="2" t="s">
        <v>398</v>
      </c>
      <c r="J120" s="7" t="s">
        <v>19</v>
      </c>
    </row>
    <row r="121" customFormat="false" ht="15" hidden="false" customHeight="false" outlineLevel="0" collapsed="false">
      <c r="A121" s="2" t="s">
        <v>10</v>
      </c>
      <c r="B121" s="3" t="s">
        <v>399</v>
      </c>
      <c r="C121" s="2" t="s">
        <v>400</v>
      </c>
      <c r="D121" s="2" t="s">
        <v>13</v>
      </c>
      <c r="E121" s="2" t="s">
        <v>14</v>
      </c>
      <c r="F121" s="9" t="s">
        <v>54</v>
      </c>
      <c r="G121" s="10" t="s">
        <v>383</v>
      </c>
      <c r="H121" s="2" t="s">
        <v>17</v>
      </c>
      <c r="I121" s="2" t="s">
        <v>401</v>
      </c>
      <c r="J121" s="7" t="s">
        <v>19</v>
      </c>
    </row>
    <row r="122" customFormat="false" ht="15" hidden="false" customHeight="false" outlineLevel="0" collapsed="false">
      <c r="A122" s="2" t="s">
        <v>10</v>
      </c>
      <c r="B122" s="3" t="s">
        <v>402</v>
      </c>
      <c r="C122" s="2" t="s">
        <v>403</v>
      </c>
      <c r="D122" s="2" t="s">
        <v>13</v>
      </c>
      <c r="E122" s="2" t="s">
        <v>14</v>
      </c>
      <c r="F122" s="9" t="s">
        <v>54</v>
      </c>
      <c r="G122" s="10" t="s">
        <v>383</v>
      </c>
      <c r="H122" s="2" t="s">
        <v>17</v>
      </c>
      <c r="I122" s="2" t="s">
        <v>404</v>
      </c>
      <c r="J122" s="7" t="s">
        <v>19</v>
      </c>
    </row>
    <row r="123" customFormat="false" ht="15" hidden="false" customHeight="false" outlineLevel="0" collapsed="false">
      <c r="A123" s="2" t="s">
        <v>10</v>
      </c>
      <c r="B123" s="3" t="s">
        <v>405</v>
      </c>
      <c r="C123" s="4" t="s">
        <v>406</v>
      </c>
      <c r="D123" s="2" t="s">
        <v>13</v>
      </c>
      <c r="E123" s="2" t="s">
        <v>14</v>
      </c>
      <c r="F123" s="9" t="s">
        <v>54</v>
      </c>
      <c r="G123" s="10" t="s">
        <v>383</v>
      </c>
      <c r="H123" s="2" t="s">
        <v>17</v>
      </c>
      <c r="I123" s="2" t="s">
        <v>407</v>
      </c>
      <c r="J123" s="7" t="s">
        <v>19</v>
      </c>
    </row>
    <row r="124" customFormat="false" ht="15" hidden="false" customHeight="false" outlineLevel="0" collapsed="false">
      <c r="A124" s="2" t="s">
        <v>10</v>
      </c>
      <c r="B124" s="3" t="s">
        <v>408</v>
      </c>
      <c r="C124" s="4" t="s">
        <v>408</v>
      </c>
      <c r="D124" s="2" t="s">
        <v>13</v>
      </c>
      <c r="E124" s="2" t="s">
        <v>28</v>
      </c>
      <c r="F124" s="9" t="s">
        <v>54</v>
      </c>
      <c r="G124" s="10" t="s">
        <v>383</v>
      </c>
      <c r="H124" s="2" t="s">
        <v>17</v>
      </c>
      <c r="I124" s="2" t="s">
        <v>409</v>
      </c>
      <c r="J124" s="7" t="s">
        <v>19</v>
      </c>
    </row>
    <row r="125" customFormat="false" ht="15" hidden="false" customHeight="false" outlineLevel="0" collapsed="false">
      <c r="A125" s="2" t="s">
        <v>10</v>
      </c>
      <c r="B125" s="3" t="s">
        <v>410</v>
      </c>
      <c r="C125" s="2" t="s">
        <v>411</v>
      </c>
      <c r="D125" s="2" t="s">
        <v>13</v>
      </c>
      <c r="E125" s="2" t="s">
        <v>28</v>
      </c>
      <c r="F125" s="9" t="s">
        <v>54</v>
      </c>
      <c r="G125" s="10" t="s">
        <v>383</v>
      </c>
      <c r="H125" s="2" t="s">
        <v>17</v>
      </c>
      <c r="I125" s="2" t="s">
        <v>412</v>
      </c>
      <c r="J125" s="7" t="s">
        <v>19</v>
      </c>
    </row>
    <row r="126" customFormat="false" ht="15" hidden="false" customHeight="false" outlineLevel="0" collapsed="false">
      <c r="A126" s="2" t="s">
        <v>10</v>
      </c>
      <c r="B126" s="3" t="s">
        <v>413</v>
      </c>
      <c r="C126" s="2" t="s">
        <v>414</v>
      </c>
      <c r="D126" s="2" t="s">
        <v>13</v>
      </c>
      <c r="E126" s="2" t="s">
        <v>28</v>
      </c>
      <c r="F126" s="9" t="s">
        <v>54</v>
      </c>
      <c r="G126" s="10" t="s">
        <v>383</v>
      </c>
      <c r="H126" s="2" t="s">
        <v>17</v>
      </c>
      <c r="I126" s="2" t="s">
        <v>415</v>
      </c>
      <c r="J126" s="7" t="s">
        <v>19</v>
      </c>
    </row>
    <row r="127" customFormat="false" ht="15" hidden="false" customHeight="false" outlineLevel="0" collapsed="false">
      <c r="A127" s="2" t="s">
        <v>10</v>
      </c>
      <c r="B127" s="3" t="s">
        <v>416</v>
      </c>
      <c r="C127" s="2" t="s">
        <v>417</v>
      </c>
      <c r="D127" s="2" t="s">
        <v>13</v>
      </c>
      <c r="E127" s="2" t="s">
        <v>28</v>
      </c>
      <c r="F127" s="9" t="s">
        <v>54</v>
      </c>
      <c r="G127" s="10" t="s">
        <v>383</v>
      </c>
      <c r="H127" s="2" t="s">
        <v>17</v>
      </c>
      <c r="I127" s="2" t="s">
        <v>418</v>
      </c>
      <c r="J127" s="7" t="s">
        <v>19</v>
      </c>
    </row>
    <row r="128" customFormat="false" ht="15" hidden="false" customHeight="false" outlineLevel="0" collapsed="false">
      <c r="A128" s="2" t="s">
        <v>50</v>
      </c>
      <c r="B128" s="3" t="s">
        <v>419</v>
      </c>
      <c r="C128" s="2" t="s">
        <v>420</v>
      </c>
      <c r="D128" s="2" t="s">
        <v>13</v>
      </c>
      <c r="E128" s="2" t="s">
        <v>14</v>
      </c>
      <c r="F128" s="9" t="s">
        <v>54</v>
      </c>
      <c r="G128" s="10" t="s">
        <v>383</v>
      </c>
      <c r="H128" s="2" t="s">
        <v>17</v>
      </c>
      <c r="I128" s="2" t="s">
        <v>421</v>
      </c>
      <c r="J128" s="7" t="s">
        <v>19</v>
      </c>
    </row>
    <row r="129" customFormat="false" ht="15" hidden="false" customHeight="false" outlineLevel="0" collapsed="false">
      <c r="A129" s="2" t="s">
        <v>50</v>
      </c>
      <c r="B129" s="3" t="s">
        <v>422</v>
      </c>
      <c r="C129" s="2" t="s">
        <v>423</v>
      </c>
      <c r="D129" s="2" t="s">
        <v>13</v>
      </c>
      <c r="E129" s="2" t="s">
        <v>14</v>
      </c>
      <c r="F129" s="9" t="s">
        <v>54</v>
      </c>
      <c r="G129" s="10" t="s">
        <v>383</v>
      </c>
      <c r="H129" s="2" t="s">
        <v>17</v>
      </c>
      <c r="I129" s="2" t="s">
        <v>424</v>
      </c>
      <c r="J129" s="7" t="s">
        <v>19</v>
      </c>
    </row>
    <row r="130" customFormat="false" ht="15" hidden="false" customHeight="false" outlineLevel="0" collapsed="false">
      <c r="A130" s="2" t="s">
        <v>50</v>
      </c>
      <c r="B130" s="3" t="s">
        <v>425</v>
      </c>
      <c r="C130" s="2" t="s">
        <v>426</v>
      </c>
      <c r="D130" s="2" t="s">
        <v>13</v>
      </c>
      <c r="E130" s="2" t="s">
        <v>48</v>
      </c>
      <c r="F130" s="9" t="s">
        <v>54</v>
      </c>
      <c r="G130" s="10" t="s">
        <v>383</v>
      </c>
      <c r="H130" s="2" t="s">
        <v>17</v>
      </c>
      <c r="I130" s="2" t="s">
        <v>427</v>
      </c>
      <c r="J130" s="7" t="s">
        <v>19</v>
      </c>
    </row>
    <row r="131" customFormat="false" ht="15" hidden="false" customHeight="false" outlineLevel="0" collapsed="false">
      <c r="A131" s="2" t="s">
        <v>10</v>
      </c>
      <c r="B131" s="3" t="s">
        <v>428</v>
      </c>
      <c r="C131" s="4" t="s">
        <v>429</v>
      </c>
      <c r="D131" s="4" t="s">
        <v>139</v>
      </c>
      <c r="E131" s="2" t="s">
        <v>156</v>
      </c>
      <c r="F131" s="9" t="s">
        <v>54</v>
      </c>
      <c r="G131" s="10" t="s">
        <v>383</v>
      </c>
      <c r="H131" s="2" t="s">
        <v>17</v>
      </c>
      <c r="I131" s="2" t="s">
        <v>430</v>
      </c>
      <c r="J131" s="7" t="s">
        <v>19</v>
      </c>
    </row>
    <row r="132" customFormat="false" ht="15" hidden="false" customHeight="false" outlineLevel="0" collapsed="false">
      <c r="A132" s="2" t="s">
        <v>10</v>
      </c>
      <c r="B132" s="3" t="s">
        <v>431</v>
      </c>
      <c r="C132" s="4" t="s">
        <v>432</v>
      </c>
      <c r="D132" s="4" t="s">
        <v>139</v>
      </c>
      <c r="E132" s="2" t="s">
        <v>156</v>
      </c>
      <c r="F132" s="9" t="s">
        <v>54</v>
      </c>
      <c r="G132" s="10" t="s">
        <v>383</v>
      </c>
      <c r="H132" s="2" t="s">
        <v>17</v>
      </c>
      <c r="I132" s="2" t="s">
        <v>433</v>
      </c>
      <c r="J132" s="7" t="s">
        <v>19</v>
      </c>
    </row>
    <row r="133" customFormat="false" ht="15" hidden="false" customHeight="false" outlineLevel="0" collapsed="false">
      <c r="A133" s="2" t="s">
        <v>10</v>
      </c>
      <c r="B133" s="3" t="s">
        <v>434</v>
      </c>
      <c r="C133" s="4" t="s">
        <v>435</v>
      </c>
      <c r="D133" s="4" t="s">
        <v>139</v>
      </c>
      <c r="E133" s="2" t="s">
        <v>171</v>
      </c>
      <c r="F133" s="5" t="s">
        <v>15</v>
      </c>
      <c r="G133" s="10" t="s">
        <v>383</v>
      </c>
      <c r="H133" s="2" t="s">
        <v>17</v>
      </c>
      <c r="I133" s="2" t="s">
        <v>436</v>
      </c>
      <c r="J133" s="7" t="s">
        <v>19</v>
      </c>
    </row>
    <row r="134" customFormat="false" ht="15" hidden="false" customHeight="false" outlineLevel="0" collapsed="false">
      <c r="A134" s="2" t="s">
        <v>50</v>
      </c>
      <c r="B134" s="3" t="s">
        <v>437</v>
      </c>
      <c r="C134" s="2" t="s">
        <v>438</v>
      </c>
      <c r="D134" s="4" t="s">
        <v>139</v>
      </c>
      <c r="E134" s="2" t="s">
        <v>156</v>
      </c>
      <c r="F134" s="9" t="s">
        <v>54</v>
      </c>
      <c r="G134" s="10" t="s">
        <v>383</v>
      </c>
      <c r="H134" s="2" t="s">
        <v>17</v>
      </c>
      <c r="I134" s="2" t="s">
        <v>439</v>
      </c>
      <c r="J134" s="7" t="s">
        <v>19</v>
      </c>
    </row>
    <row r="135" customFormat="false" ht="15" hidden="false" customHeight="false" outlineLevel="0" collapsed="false">
      <c r="A135" s="2" t="s">
        <v>50</v>
      </c>
      <c r="B135" s="3" t="s">
        <v>440</v>
      </c>
      <c r="C135" s="2" t="s">
        <v>441</v>
      </c>
      <c r="D135" s="4" t="s">
        <v>139</v>
      </c>
      <c r="E135" s="2" t="s">
        <v>156</v>
      </c>
      <c r="F135" s="9" t="s">
        <v>54</v>
      </c>
      <c r="G135" s="10" t="s">
        <v>383</v>
      </c>
      <c r="H135" s="2" t="s">
        <v>17</v>
      </c>
      <c r="I135" s="2" t="s">
        <v>442</v>
      </c>
      <c r="J135" s="7" t="s">
        <v>19</v>
      </c>
    </row>
    <row r="136" customFormat="false" ht="15" hidden="false" customHeight="false" outlineLevel="0" collapsed="false">
      <c r="A136" s="2" t="s">
        <v>50</v>
      </c>
      <c r="B136" s="3" t="s">
        <v>443</v>
      </c>
      <c r="C136" s="2" t="s">
        <v>444</v>
      </c>
      <c r="D136" s="4" t="s">
        <v>139</v>
      </c>
      <c r="E136" s="2" t="s">
        <v>156</v>
      </c>
      <c r="F136" s="9" t="s">
        <v>54</v>
      </c>
      <c r="G136" s="10" t="s">
        <v>383</v>
      </c>
      <c r="H136" s="2" t="s">
        <v>17</v>
      </c>
      <c r="I136" s="2" t="s">
        <v>445</v>
      </c>
      <c r="J136" s="7" t="s">
        <v>19</v>
      </c>
    </row>
    <row r="137" customFormat="false" ht="15" hidden="false" customHeight="false" outlineLevel="0" collapsed="false">
      <c r="A137" s="2" t="s">
        <v>50</v>
      </c>
      <c r="B137" s="3" t="s">
        <v>446</v>
      </c>
      <c r="C137" s="2" t="s">
        <v>447</v>
      </c>
      <c r="D137" s="4" t="s">
        <v>139</v>
      </c>
      <c r="E137" s="2" t="s">
        <v>156</v>
      </c>
      <c r="F137" s="9" t="s">
        <v>54</v>
      </c>
      <c r="G137" s="10" t="s">
        <v>383</v>
      </c>
      <c r="H137" s="2" t="s">
        <v>17</v>
      </c>
      <c r="I137" s="2" t="s">
        <v>448</v>
      </c>
      <c r="J137" s="7" t="s">
        <v>19</v>
      </c>
    </row>
    <row r="138" customFormat="false" ht="15" hidden="false" customHeight="false" outlineLevel="0" collapsed="false">
      <c r="A138" s="2" t="s">
        <v>50</v>
      </c>
      <c r="B138" s="3" t="s">
        <v>449</v>
      </c>
      <c r="C138" s="2" t="s">
        <v>450</v>
      </c>
      <c r="D138" s="4" t="s">
        <v>139</v>
      </c>
      <c r="E138" s="2" t="s">
        <v>160</v>
      </c>
      <c r="F138" s="9" t="s">
        <v>54</v>
      </c>
      <c r="G138" s="10" t="s">
        <v>383</v>
      </c>
      <c r="H138" s="2" t="s">
        <v>17</v>
      </c>
      <c r="I138" s="2" t="s">
        <v>451</v>
      </c>
      <c r="J138" s="7" t="s">
        <v>19</v>
      </c>
    </row>
    <row r="139" customFormat="false" ht="15" hidden="false" customHeight="false" outlineLevel="0" collapsed="false">
      <c r="A139" s="2" t="s">
        <v>50</v>
      </c>
      <c r="B139" s="3" t="s">
        <v>452</v>
      </c>
      <c r="C139" s="2" t="s">
        <v>453</v>
      </c>
      <c r="D139" s="4" t="s">
        <v>139</v>
      </c>
      <c r="E139" s="2" t="s">
        <v>160</v>
      </c>
      <c r="F139" s="9" t="s">
        <v>54</v>
      </c>
      <c r="G139" s="10" t="s">
        <v>383</v>
      </c>
      <c r="H139" s="2" t="s">
        <v>17</v>
      </c>
      <c r="I139" s="2" t="s">
        <v>454</v>
      </c>
      <c r="J139" s="7" t="s">
        <v>19</v>
      </c>
    </row>
    <row r="140" customFormat="false" ht="15" hidden="false" customHeight="false" outlineLevel="0" collapsed="false">
      <c r="A140" s="2" t="s">
        <v>10</v>
      </c>
      <c r="B140" s="3" t="s">
        <v>455</v>
      </c>
      <c r="C140" s="4" t="s">
        <v>456</v>
      </c>
      <c r="D140" s="2" t="s">
        <v>247</v>
      </c>
      <c r="E140" s="2" t="s">
        <v>248</v>
      </c>
      <c r="F140" s="9" t="s">
        <v>54</v>
      </c>
      <c r="G140" s="10" t="s">
        <v>383</v>
      </c>
      <c r="H140" s="2" t="s">
        <v>17</v>
      </c>
      <c r="I140" s="2" t="s">
        <v>457</v>
      </c>
      <c r="J140" s="7" t="s">
        <v>19</v>
      </c>
    </row>
    <row r="141" customFormat="false" ht="15" hidden="false" customHeight="false" outlineLevel="0" collapsed="false">
      <c r="A141" s="2" t="s">
        <v>10</v>
      </c>
      <c r="B141" s="3" t="s">
        <v>458</v>
      </c>
      <c r="C141" s="4" t="s">
        <v>459</v>
      </c>
      <c r="D141" s="2" t="s">
        <v>247</v>
      </c>
      <c r="E141" s="2" t="s">
        <v>248</v>
      </c>
      <c r="F141" s="9" t="s">
        <v>54</v>
      </c>
      <c r="G141" s="10" t="s">
        <v>383</v>
      </c>
      <c r="H141" s="2" t="s">
        <v>17</v>
      </c>
      <c r="I141" s="2" t="s">
        <v>460</v>
      </c>
      <c r="J141" s="7" t="s">
        <v>19</v>
      </c>
    </row>
    <row r="142" customFormat="false" ht="15" hidden="false" customHeight="false" outlineLevel="0" collapsed="false">
      <c r="A142" s="2" t="s">
        <v>10</v>
      </c>
      <c r="B142" s="3" t="s">
        <v>461</v>
      </c>
      <c r="C142" s="4" t="s">
        <v>462</v>
      </c>
      <c r="D142" s="2" t="s">
        <v>247</v>
      </c>
      <c r="E142" s="2" t="s">
        <v>258</v>
      </c>
      <c r="F142" s="9" t="s">
        <v>54</v>
      </c>
      <c r="G142" s="10" t="s">
        <v>383</v>
      </c>
      <c r="H142" s="2" t="s">
        <v>17</v>
      </c>
      <c r="I142" s="2" t="s">
        <v>463</v>
      </c>
      <c r="J142" s="7" t="s">
        <v>19</v>
      </c>
    </row>
    <row r="143" customFormat="false" ht="15" hidden="false" customHeight="false" outlineLevel="0" collapsed="false">
      <c r="A143" s="2" t="s">
        <v>10</v>
      </c>
      <c r="B143" s="3" t="s">
        <v>464</v>
      </c>
      <c r="C143" s="4" t="s">
        <v>465</v>
      </c>
      <c r="D143" s="2" t="s">
        <v>247</v>
      </c>
      <c r="E143" s="2" t="s">
        <v>271</v>
      </c>
      <c r="F143" s="9" t="s">
        <v>54</v>
      </c>
      <c r="G143" s="10" t="s">
        <v>383</v>
      </c>
      <c r="H143" s="2" t="s">
        <v>17</v>
      </c>
      <c r="I143" s="2" t="s">
        <v>466</v>
      </c>
      <c r="J143" s="7" t="s">
        <v>19</v>
      </c>
    </row>
    <row r="144" customFormat="false" ht="15" hidden="false" customHeight="false" outlineLevel="0" collapsed="false">
      <c r="A144" s="2" t="s">
        <v>10</v>
      </c>
      <c r="B144" s="3" t="s">
        <v>467</v>
      </c>
      <c r="C144" s="4" t="s">
        <v>468</v>
      </c>
      <c r="D144" s="2" t="s">
        <v>247</v>
      </c>
      <c r="E144" s="2" t="s">
        <v>271</v>
      </c>
      <c r="F144" s="9" t="s">
        <v>54</v>
      </c>
      <c r="G144" s="10" t="s">
        <v>383</v>
      </c>
      <c r="H144" s="2" t="s">
        <v>17</v>
      </c>
      <c r="I144" s="2" t="s">
        <v>469</v>
      </c>
      <c r="J144" s="7" t="s">
        <v>19</v>
      </c>
    </row>
    <row r="145" customFormat="false" ht="15" hidden="false" customHeight="false" outlineLevel="0" collapsed="false">
      <c r="A145" s="2" t="s">
        <v>10</v>
      </c>
      <c r="B145" s="3" t="s">
        <v>470</v>
      </c>
      <c r="C145" s="2" t="s">
        <v>471</v>
      </c>
      <c r="D145" s="2" t="s">
        <v>294</v>
      </c>
      <c r="E145" s="2" t="s">
        <v>295</v>
      </c>
      <c r="F145" s="9" t="s">
        <v>54</v>
      </c>
      <c r="G145" s="10" t="s">
        <v>383</v>
      </c>
      <c r="H145" s="2" t="s">
        <v>17</v>
      </c>
      <c r="I145" s="2" t="s">
        <v>472</v>
      </c>
      <c r="J145" s="7" t="s">
        <v>19</v>
      </c>
    </row>
    <row r="146" customFormat="false" ht="15" hidden="false" customHeight="false" outlineLevel="0" collapsed="false">
      <c r="A146" s="2" t="s">
        <v>10</v>
      </c>
      <c r="B146" s="3" t="s">
        <v>473</v>
      </c>
      <c r="C146" s="4" t="s">
        <v>474</v>
      </c>
      <c r="D146" s="2" t="s">
        <v>294</v>
      </c>
      <c r="E146" s="2" t="s">
        <v>295</v>
      </c>
      <c r="F146" s="9" t="s">
        <v>54</v>
      </c>
      <c r="G146" s="10" t="s">
        <v>383</v>
      </c>
      <c r="H146" s="2" t="s">
        <v>17</v>
      </c>
      <c r="I146" s="2" t="s">
        <v>475</v>
      </c>
      <c r="J146" s="7" t="s">
        <v>19</v>
      </c>
    </row>
    <row r="147" customFormat="false" ht="15" hidden="false" customHeight="false" outlineLevel="0" collapsed="false">
      <c r="A147" s="2" t="s">
        <v>10</v>
      </c>
      <c r="B147" s="3" t="s">
        <v>476</v>
      </c>
      <c r="C147" s="2" t="s">
        <v>477</v>
      </c>
      <c r="D147" s="2" t="s">
        <v>330</v>
      </c>
      <c r="E147" s="2" t="s">
        <v>331</v>
      </c>
      <c r="F147" s="9" t="s">
        <v>54</v>
      </c>
      <c r="G147" s="10" t="s">
        <v>383</v>
      </c>
      <c r="H147" s="2" t="s">
        <v>330</v>
      </c>
      <c r="I147" s="2" t="s">
        <v>478</v>
      </c>
      <c r="J147" s="7" t="s">
        <v>19</v>
      </c>
    </row>
  </sheetData>
  <autoFilter ref="A1:J147"/>
  <dataValidations count="2">
    <dataValidation allowBlank="false" errorStyle="stop" operator="between" showDropDown="false" showErrorMessage="false" showInputMessage="false" sqref="J2:J147" type="list">
      <formula1>"Y,N"</formula1>
      <formula2>0</formula2>
    </dataValidation>
    <dataValidation allowBlank="false" errorStyle="stop" operator="between" showDropDown="false" showErrorMessage="false" showInputMessage="false" sqref="G2:G147" type="list">
      <formula1>"候選,指標"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1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9"/>
  </cols>
  <sheetData>
    <row r="1" customFormat="false" ht="17.15" hidden="false" customHeight="false" outlineLevel="0" collapsed="false">
      <c r="A1" s="1" t="s">
        <v>3</v>
      </c>
      <c r="B1" s="1" t="s">
        <v>479</v>
      </c>
      <c r="C1" s="1" t="s">
        <v>480</v>
      </c>
      <c r="D1" s="1" t="s">
        <v>481</v>
      </c>
      <c r="E1" s="1" t="s">
        <v>482</v>
      </c>
      <c r="F1" s="1" t="s">
        <v>483</v>
      </c>
    </row>
    <row r="2" customFormat="false" ht="15" hidden="false" customHeight="false" outlineLevel="0" collapsed="false">
      <c r="A2" s="2" t="s">
        <v>13</v>
      </c>
      <c r="B2" s="2" t="n">
        <f aca="false">COUNTIFS(觀察清單!$D$2:$D$147,$A2,觀察清單!$A$2:$A$147,"美股",觀察清單!$G$2:$G$147,"候選",觀察清單!$J$2:$J$147,"Y")</f>
        <v>10</v>
      </c>
      <c r="C2" s="2" t="n">
        <f aca="false">COUNTIFS(觀察清單!$D$2:$D$147,$A2,觀察清單!$A$2:$A$147,"台股",觀察清單!$G$2:$G$147,"候選",觀察清單!$J$2:$J$147,"Y")</f>
        <v>28</v>
      </c>
      <c r="D2" s="2" t="n">
        <f aca="false">B2+C2</f>
        <v>38</v>
      </c>
      <c r="E2" s="2" t="n">
        <f aca="false">COUNTIFS(觀察清單!$D$2:$D$147,$A2,觀察清單!$G$2:$G$147,"候選",觀察清單!$F$2:$F$147,"小型潛力",觀察清單!$J$2:$J$147,"Y")</f>
        <v>8</v>
      </c>
      <c r="F2" s="2" t="n">
        <f aca="false">COUNTIFS(觀察清單!$D$2:$D$147,$A2,觀察清單!$G$2:$G$147,"指標",觀察清單!$J$2:$J$147,"Y")</f>
        <v>16</v>
      </c>
    </row>
    <row r="3" customFormat="false" ht="15" hidden="false" customHeight="false" outlineLevel="0" collapsed="false">
      <c r="A3" s="4" t="s">
        <v>139</v>
      </c>
      <c r="B3" s="2" t="n">
        <f aca="false">COUNTIFS(觀察清單!$D$2:$D$147,$A3,觀察清單!$A$2:$A$147,"美股",觀察清單!$G$2:$G$147,"候選",觀察清單!$J$2:$J$147,"Y")</f>
        <v>12</v>
      </c>
      <c r="C3" s="2" t="n">
        <f aca="false">COUNTIFS(觀察清單!$D$2:$D$147,$A3,觀察清單!$A$2:$A$147,"台股",觀察清單!$G$2:$G$147,"候選",觀察清單!$J$2:$J$147,"Y")</f>
        <v>23</v>
      </c>
      <c r="D3" s="2" t="n">
        <f aca="false">B3+C3</f>
        <v>35</v>
      </c>
      <c r="E3" s="2" t="n">
        <f aca="false">COUNTIFS(觀察清單!$D$2:$D$147,$A3,觀察清單!$G$2:$G$147,"候選",觀察清單!$F$2:$F$147,"小型潛力",觀察清單!$J$2:$J$147,"Y")</f>
        <v>12</v>
      </c>
      <c r="F3" s="2" t="n">
        <f aca="false">COUNTIFS(觀察清單!$D$2:$D$147,$A3,觀察清單!$G$2:$G$147,"指標",觀察清單!$J$2:$J$147,"Y")</f>
        <v>9</v>
      </c>
    </row>
    <row r="4" customFormat="false" ht="15" hidden="false" customHeight="false" outlineLevel="0" collapsed="false">
      <c r="A4" s="2" t="s">
        <v>247</v>
      </c>
      <c r="B4" s="2" t="n">
        <f aca="false">COUNTIFS(觀察清單!$D$2:$D$147,$A4,觀察清單!$A$2:$A$147,"美股",觀察清單!$G$2:$G$147,"候選",觀察清單!$J$2:$J$147,"Y")</f>
        <v>10</v>
      </c>
      <c r="C4" s="2" t="n">
        <f aca="false">COUNTIFS(觀察清單!$D$2:$D$147,$A4,觀察清單!$A$2:$A$147,"台股",觀察清單!$G$2:$G$147,"候選",觀察清單!$J$2:$J$147,"Y")</f>
        <v>4</v>
      </c>
      <c r="D4" s="2" t="n">
        <f aca="false">B4+C4</f>
        <v>14</v>
      </c>
      <c r="E4" s="2" t="n">
        <f aca="false">COUNTIFS(觀察清單!$D$2:$D$147,$A4,觀察清單!$G$2:$G$147,"候選",觀察清單!$F$2:$F$147,"小型潛力",觀察清單!$J$2:$J$147,"Y")</f>
        <v>5</v>
      </c>
      <c r="F4" s="2" t="n">
        <f aca="false">COUNTIFS(觀察清單!$D$2:$D$147,$A4,觀察清單!$G$2:$G$147,"指標",觀察清單!$J$2:$J$147,"Y")</f>
        <v>5</v>
      </c>
    </row>
    <row r="5" customFormat="false" ht="15" hidden="false" customHeight="false" outlineLevel="0" collapsed="false">
      <c r="A5" s="2" t="s">
        <v>294</v>
      </c>
      <c r="B5" s="2" t="n">
        <f aca="false">COUNTIFS(觀察清單!$D$2:$D$147,$A5,觀察清單!$A$2:$A$147,"美股",觀察清單!$G$2:$G$147,"候選",觀察清單!$J$2:$J$147,"Y")</f>
        <v>2</v>
      </c>
      <c r="C5" s="2" t="n">
        <f aca="false">COUNTIFS(觀察清單!$D$2:$D$147,$A5,觀察清單!$A$2:$A$147,"台股",觀察清單!$G$2:$G$147,"候選",觀察清單!$J$2:$J$147,"Y")</f>
        <v>9</v>
      </c>
      <c r="D5" s="2" t="n">
        <f aca="false">B5+C5</f>
        <v>11</v>
      </c>
      <c r="E5" s="2" t="n">
        <f aca="false">COUNTIFS(觀察清單!$D$2:$D$147,$A5,觀察清單!$G$2:$G$147,"候選",觀察清單!$F$2:$F$147,"小型潛力",觀察清單!$J$2:$J$147,"Y")</f>
        <v>6</v>
      </c>
      <c r="F5" s="2" t="n">
        <f aca="false">COUNTIFS(觀察清單!$D$2:$D$147,$A5,觀察清單!$G$2:$G$147,"指標",觀察清單!$J$2:$J$147,"Y")</f>
        <v>2</v>
      </c>
    </row>
    <row r="6" customFormat="false" ht="15" hidden="false" customHeight="false" outlineLevel="0" collapsed="false">
      <c r="A6" s="2" t="s">
        <v>330</v>
      </c>
      <c r="B6" s="2" t="n">
        <f aca="false">COUNTIFS(觀察清單!$D$2:$D$147,$A6,觀察清單!$A$2:$A$147,"美股",觀察清單!$G$2:$G$147,"候選",觀察清單!$J$2:$J$147,"Y")</f>
        <v>6</v>
      </c>
      <c r="C6" s="2" t="n">
        <f aca="false">COUNTIFS(觀察清單!$D$2:$D$147,$A6,觀察清單!$A$2:$A$147,"台股",觀察清單!$G$2:$G$147,"候選",觀察清單!$J$2:$J$147,"Y")</f>
        <v>6</v>
      </c>
      <c r="D6" s="2" t="n">
        <f aca="false">B6+C6</f>
        <v>12</v>
      </c>
      <c r="E6" s="2" t="n">
        <f aca="false">COUNTIFS(觀察清單!$D$2:$D$147,$A6,觀察清單!$G$2:$G$147,"候選",觀察清單!$F$2:$F$147,"小型潛力",觀察清單!$J$2:$J$147,"Y")</f>
        <v>7</v>
      </c>
      <c r="F6" s="2" t="n">
        <f aca="false">COUNTIFS(觀察清單!$D$2:$D$147,$A6,觀察清單!$G$2:$G$147,"指標",觀察清單!$J$2:$J$147,"Y")</f>
        <v>1</v>
      </c>
    </row>
    <row r="7" customFormat="false" ht="15" hidden="false" customHeight="false" outlineLevel="0" collapsed="false">
      <c r="A7" s="2" t="s">
        <v>371</v>
      </c>
      <c r="B7" s="2" t="n">
        <f aca="false">COUNTIFS(觀察清單!$D$2:$D$147,$A7,觀察清單!$A$2:$A$147,"美股",觀察清單!$G$2:$G$147,"候選",觀察清單!$J$2:$J$147,"Y")</f>
        <v>3</v>
      </c>
      <c r="C7" s="2" t="n">
        <f aca="false">COUNTIFS(觀察清單!$D$2:$D$147,$A7,觀察清單!$A$2:$A$147,"台股",觀察清單!$G$2:$G$147,"候選",觀察清單!$J$2:$J$147,"Y")</f>
        <v>0</v>
      </c>
      <c r="D7" s="2" t="n">
        <f aca="false">B7+C7</f>
        <v>3</v>
      </c>
      <c r="E7" s="2" t="n">
        <f aca="false">COUNTIFS(觀察清單!$D$2:$D$147,$A7,觀察清單!$G$2:$G$147,"候選",觀察清單!$F$2:$F$147,"小型潛力",觀察清單!$J$2:$J$147,"Y")</f>
        <v>2</v>
      </c>
      <c r="F7" s="2" t="n">
        <f aca="false">COUNTIFS(觀察清單!$D$2:$D$147,$A7,觀察清單!$G$2:$G$147,"指標",觀察清單!$J$2:$J$147,"Y")</f>
        <v>0</v>
      </c>
    </row>
    <row r="8" customFormat="false" ht="15" hidden="false" customHeight="false" outlineLevel="0" collapsed="false">
      <c r="A8" s="11" t="s">
        <v>484</v>
      </c>
      <c r="B8" s="11" t="n">
        <f aca="false">SUM(B2:B7)</f>
        <v>43</v>
      </c>
      <c r="C8" s="11" t="n">
        <f aca="false">SUM(C2:C7)</f>
        <v>70</v>
      </c>
      <c r="D8" s="11" t="n">
        <f aca="false">SUM(D2:D7)</f>
        <v>113</v>
      </c>
      <c r="E8" s="11" t="n">
        <f aca="false">SUM(E2:E7)</f>
        <v>40</v>
      </c>
      <c r="F8" s="11" t="n">
        <f aca="false">SUM(F2:F7)</f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7" min="7" style="0" width="5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485</v>
      </c>
    </row>
    <row r="2" customFormat="false" ht="15" hidden="false" customHeight="false" outlineLevel="0" collapsed="false">
      <c r="A2" s="2" t="s">
        <v>50</v>
      </c>
      <c r="B2" s="4" t="s">
        <v>486</v>
      </c>
      <c r="C2" s="2" t="s">
        <v>487</v>
      </c>
      <c r="D2" s="2" t="s">
        <v>13</v>
      </c>
      <c r="E2" s="2" t="s">
        <v>53</v>
      </c>
      <c r="F2" s="2" t="s">
        <v>38</v>
      </c>
      <c r="G2" s="2" t="s">
        <v>488</v>
      </c>
    </row>
    <row r="3" customFormat="false" ht="15" hidden="false" customHeight="false" outlineLevel="0" collapsed="false">
      <c r="A3" s="2" t="s">
        <v>50</v>
      </c>
      <c r="B3" s="4" t="s">
        <v>489</v>
      </c>
      <c r="C3" s="2" t="s">
        <v>490</v>
      </c>
      <c r="D3" s="2" t="s">
        <v>13</v>
      </c>
      <c r="E3" s="2" t="s">
        <v>53</v>
      </c>
      <c r="F3" s="2" t="s">
        <v>15</v>
      </c>
      <c r="G3" s="2" t="s">
        <v>491</v>
      </c>
    </row>
    <row r="4" customFormat="false" ht="15" hidden="false" customHeight="false" outlineLevel="0" collapsed="false">
      <c r="A4" s="2" t="s">
        <v>50</v>
      </c>
      <c r="B4" s="4" t="s">
        <v>492</v>
      </c>
      <c r="C4" s="2" t="s">
        <v>493</v>
      </c>
      <c r="D4" s="2" t="s">
        <v>13</v>
      </c>
      <c r="E4" s="2" t="s">
        <v>53</v>
      </c>
      <c r="F4" s="2" t="s">
        <v>38</v>
      </c>
      <c r="G4" s="2" t="s">
        <v>494</v>
      </c>
    </row>
    <row r="5" customFormat="false" ht="15" hidden="false" customHeight="false" outlineLevel="0" collapsed="false">
      <c r="A5" s="2" t="s">
        <v>50</v>
      </c>
      <c r="B5" s="4" t="s">
        <v>495</v>
      </c>
      <c r="C5" s="2" t="s">
        <v>496</v>
      </c>
      <c r="D5" s="2" t="s">
        <v>13</v>
      </c>
      <c r="E5" s="2" t="s">
        <v>53</v>
      </c>
      <c r="F5" s="2" t="s">
        <v>15</v>
      </c>
      <c r="G5" s="2" t="s">
        <v>497</v>
      </c>
    </row>
    <row r="6" customFormat="false" ht="15" hidden="false" customHeight="false" outlineLevel="0" collapsed="false">
      <c r="A6" s="2" t="s">
        <v>10</v>
      </c>
      <c r="B6" s="4" t="s">
        <v>498</v>
      </c>
      <c r="C6" s="2" t="s">
        <v>499</v>
      </c>
      <c r="D6" s="2" t="s">
        <v>13</v>
      </c>
      <c r="E6" s="2" t="s">
        <v>28</v>
      </c>
      <c r="F6" s="2" t="s">
        <v>38</v>
      </c>
      <c r="G6" s="2" t="s">
        <v>500</v>
      </c>
    </row>
    <row r="7" customFormat="false" ht="15" hidden="false" customHeight="false" outlineLevel="0" collapsed="false">
      <c r="A7" s="2" t="s">
        <v>10</v>
      </c>
      <c r="B7" s="4" t="s">
        <v>501</v>
      </c>
      <c r="C7" s="2" t="s">
        <v>502</v>
      </c>
      <c r="D7" s="2" t="s">
        <v>13</v>
      </c>
      <c r="E7" s="2" t="s">
        <v>28</v>
      </c>
      <c r="F7" s="2" t="s">
        <v>15</v>
      </c>
      <c r="G7" s="2" t="s">
        <v>503</v>
      </c>
    </row>
    <row r="8" customFormat="false" ht="15" hidden="false" customHeight="false" outlineLevel="0" collapsed="false">
      <c r="A8" s="2" t="s">
        <v>10</v>
      </c>
      <c r="B8" s="4" t="s">
        <v>504</v>
      </c>
      <c r="C8" s="4" t="s">
        <v>505</v>
      </c>
      <c r="D8" s="2" t="s">
        <v>13</v>
      </c>
      <c r="E8" s="2" t="s">
        <v>28</v>
      </c>
      <c r="F8" s="2" t="s">
        <v>38</v>
      </c>
      <c r="G8" s="2" t="s">
        <v>506</v>
      </c>
    </row>
    <row r="9" customFormat="false" ht="15" hidden="false" customHeight="false" outlineLevel="0" collapsed="false">
      <c r="A9" s="2" t="s">
        <v>50</v>
      </c>
      <c r="B9" s="4" t="s">
        <v>507</v>
      </c>
      <c r="C9" s="2" t="s">
        <v>508</v>
      </c>
      <c r="D9" s="2" t="s">
        <v>13</v>
      </c>
      <c r="E9" s="2" t="s">
        <v>28</v>
      </c>
      <c r="F9" s="2" t="s">
        <v>15</v>
      </c>
      <c r="G9" s="2" t="s">
        <v>509</v>
      </c>
    </row>
    <row r="10" customFormat="false" ht="15" hidden="false" customHeight="false" outlineLevel="0" collapsed="false">
      <c r="A10" s="2" t="s">
        <v>10</v>
      </c>
      <c r="B10" s="4" t="s">
        <v>510</v>
      </c>
      <c r="C10" s="2" t="s">
        <v>511</v>
      </c>
      <c r="D10" s="4" t="s">
        <v>139</v>
      </c>
      <c r="E10" s="2" t="s">
        <v>156</v>
      </c>
      <c r="F10" s="2" t="s">
        <v>15</v>
      </c>
      <c r="G10" s="2" t="s">
        <v>512</v>
      </c>
    </row>
    <row r="11" customFormat="false" ht="15" hidden="false" customHeight="false" outlineLevel="0" collapsed="false">
      <c r="A11" s="2" t="s">
        <v>50</v>
      </c>
      <c r="B11" s="4" t="s">
        <v>513</v>
      </c>
      <c r="C11" s="2" t="s">
        <v>514</v>
      </c>
      <c r="D11" s="4" t="s">
        <v>139</v>
      </c>
      <c r="E11" s="2" t="s">
        <v>156</v>
      </c>
      <c r="F11" s="2" t="s">
        <v>15</v>
      </c>
      <c r="G11" s="2" t="s">
        <v>515</v>
      </c>
    </row>
    <row r="12" customFormat="false" ht="15" hidden="false" customHeight="false" outlineLevel="0" collapsed="false">
      <c r="A12" s="2" t="s">
        <v>50</v>
      </c>
      <c r="B12" s="4" t="s">
        <v>516</v>
      </c>
      <c r="C12" s="2" t="s">
        <v>517</v>
      </c>
      <c r="D12" s="4" t="s">
        <v>139</v>
      </c>
      <c r="E12" s="2" t="s">
        <v>156</v>
      </c>
      <c r="F12" s="2" t="s">
        <v>15</v>
      </c>
      <c r="G12" s="2" t="s">
        <v>518</v>
      </c>
    </row>
    <row r="13" customFormat="false" ht="15" hidden="false" customHeight="false" outlineLevel="0" collapsed="false">
      <c r="A13" s="2" t="s">
        <v>50</v>
      </c>
      <c r="B13" s="4" t="s">
        <v>519</v>
      </c>
      <c r="C13" s="2" t="s">
        <v>520</v>
      </c>
      <c r="D13" s="4" t="s">
        <v>139</v>
      </c>
      <c r="E13" s="2" t="s">
        <v>160</v>
      </c>
      <c r="F13" s="2" t="s">
        <v>15</v>
      </c>
      <c r="G13" s="2" t="s">
        <v>521</v>
      </c>
    </row>
    <row r="14" customFormat="false" ht="15" hidden="false" customHeight="false" outlineLevel="0" collapsed="false">
      <c r="A14" s="2" t="s">
        <v>50</v>
      </c>
      <c r="B14" s="4" t="s">
        <v>522</v>
      </c>
      <c r="C14" s="2" t="s">
        <v>523</v>
      </c>
      <c r="D14" s="4" t="s">
        <v>139</v>
      </c>
      <c r="E14" s="4" t="s">
        <v>167</v>
      </c>
      <c r="F14" s="2" t="s">
        <v>15</v>
      </c>
      <c r="G14" s="2" t="s">
        <v>524</v>
      </c>
    </row>
    <row r="15" customFormat="false" ht="15" hidden="false" customHeight="false" outlineLevel="0" collapsed="false">
      <c r="A15" s="2" t="s">
        <v>50</v>
      </c>
      <c r="B15" s="4" t="s">
        <v>525</v>
      </c>
      <c r="C15" s="2" t="s">
        <v>526</v>
      </c>
      <c r="D15" s="4" t="s">
        <v>139</v>
      </c>
      <c r="E15" s="4" t="s">
        <v>167</v>
      </c>
      <c r="F15" s="2" t="s">
        <v>15</v>
      </c>
      <c r="G15" s="2" t="s">
        <v>527</v>
      </c>
    </row>
    <row r="16" customFormat="false" ht="15" hidden="false" customHeight="false" outlineLevel="0" collapsed="false">
      <c r="A16" s="2" t="s">
        <v>10</v>
      </c>
      <c r="B16" s="4" t="s">
        <v>528</v>
      </c>
      <c r="C16" s="4" t="s">
        <v>529</v>
      </c>
      <c r="D16" s="4" t="s">
        <v>139</v>
      </c>
      <c r="E16" s="2" t="s">
        <v>171</v>
      </c>
      <c r="F16" s="2" t="s">
        <v>38</v>
      </c>
      <c r="G16" s="2" t="s">
        <v>530</v>
      </c>
    </row>
    <row r="17" customFormat="false" ht="15" hidden="false" customHeight="false" outlineLevel="0" collapsed="false">
      <c r="A17" s="2" t="s">
        <v>10</v>
      </c>
      <c r="B17" s="4" t="s">
        <v>531</v>
      </c>
      <c r="C17" s="4" t="s">
        <v>532</v>
      </c>
      <c r="D17" s="4" t="s">
        <v>139</v>
      </c>
      <c r="E17" s="2" t="s">
        <v>171</v>
      </c>
      <c r="F17" s="2" t="s">
        <v>38</v>
      </c>
      <c r="G17" s="2" t="s">
        <v>533</v>
      </c>
    </row>
    <row r="18" customFormat="false" ht="15" hidden="false" customHeight="false" outlineLevel="0" collapsed="false">
      <c r="A18" s="2" t="s">
        <v>10</v>
      </c>
      <c r="B18" s="4" t="s">
        <v>534</v>
      </c>
      <c r="C18" s="4" t="s">
        <v>534</v>
      </c>
      <c r="D18" s="2" t="s">
        <v>247</v>
      </c>
      <c r="E18" s="2" t="s">
        <v>248</v>
      </c>
      <c r="F18" s="2" t="s">
        <v>15</v>
      </c>
      <c r="G18" s="2" t="s">
        <v>535</v>
      </c>
    </row>
    <row r="19" customFormat="false" ht="15" hidden="false" customHeight="false" outlineLevel="0" collapsed="false">
      <c r="A19" s="2" t="s">
        <v>10</v>
      </c>
      <c r="B19" s="4" t="s">
        <v>536</v>
      </c>
      <c r="C19" s="4" t="s">
        <v>537</v>
      </c>
      <c r="D19" s="2" t="s">
        <v>247</v>
      </c>
      <c r="E19" s="2" t="s">
        <v>258</v>
      </c>
      <c r="F19" s="2" t="s">
        <v>38</v>
      </c>
      <c r="G19" s="2" t="s">
        <v>538</v>
      </c>
    </row>
    <row r="20" customFormat="false" ht="15" hidden="false" customHeight="false" outlineLevel="0" collapsed="false">
      <c r="A20" s="2" t="s">
        <v>10</v>
      </c>
      <c r="B20" s="4" t="s">
        <v>539</v>
      </c>
      <c r="C20" s="4" t="s">
        <v>540</v>
      </c>
      <c r="D20" s="2" t="s">
        <v>247</v>
      </c>
      <c r="E20" s="2" t="s">
        <v>258</v>
      </c>
      <c r="F20" s="2" t="s">
        <v>38</v>
      </c>
      <c r="G20" s="2" t="s">
        <v>541</v>
      </c>
    </row>
    <row r="21" customFormat="false" ht="15" hidden="false" customHeight="false" outlineLevel="0" collapsed="false">
      <c r="A21" s="2" t="s">
        <v>10</v>
      </c>
      <c r="B21" s="4" t="s">
        <v>542</v>
      </c>
      <c r="C21" s="4" t="s">
        <v>543</v>
      </c>
      <c r="D21" s="2" t="s">
        <v>247</v>
      </c>
      <c r="E21" s="2" t="s">
        <v>271</v>
      </c>
      <c r="F21" s="2" t="s">
        <v>15</v>
      </c>
      <c r="G21" s="2" t="s">
        <v>544</v>
      </c>
    </row>
    <row r="22" customFormat="false" ht="15" hidden="false" customHeight="false" outlineLevel="0" collapsed="false">
      <c r="A22" s="2" t="s">
        <v>10</v>
      </c>
      <c r="B22" s="4" t="s">
        <v>545</v>
      </c>
      <c r="C22" s="4" t="s">
        <v>546</v>
      </c>
      <c r="D22" s="2" t="s">
        <v>247</v>
      </c>
      <c r="E22" s="2" t="s">
        <v>278</v>
      </c>
      <c r="F22" s="2" t="s">
        <v>38</v>
      </c>
      <c r="G22" s="2" t="s">
        <v>547</v>
      </c>
    </row>
    <row r="23" customFormat="false" ht="15" hidden="false" customHeight="false" outlineLevel="0" collapsed="false">
      <c r="A23" s="2" t="s">
        <v>50</v>
      </c>
      <c r="B23" s="4" t="s">
        <v>548</v>
      </c>
      <c r="C23" s="2" t="s">
        <v>549</v>
      </c>
      <c r="D23" s="2" t="s">
        <v>247</v>
      </c>
      <c r="E23" s="2" t="s">
        <v>282</v>
      </c>
      <c r="F23" s="2" t="s">
        <v>15</v>
      </c>
      <c r="G23" s="2" t="s">
        <v>550</v>
      </c>
    </row>
    <row r="24" customFormat="false" ht="15" hidden="false" customHeight="false" outlineLevel="0" collapsed="false">
      <c r="A24" s="2" t="s">
        <v>50</v>
      </c>
      <c r="B24" s="4" t="s">
        <v>551</v>
      </c>
      <c r="C24" s="2" t="s">
        <v>552</v>
      </c>
      <c r="D24" s="2" t="s">
        <v>247</v>
      </c>
      <c r="E24" s="2" t="s">
        <v>282</v>
      </c>
      <c r="F24" s="2" t="s">
        <v>15</v>
      </c>
      <c r="G24" s="2" t="s">
        <v>553</v>
      </c>
    </row>
    <row r="25" customFormat="false" ht="15" hidden="false" customHeight="false" outlineLevel="0" collapsed="false">
      <c r="A25" s="2" t="s">
        <v>10</v>
      </c>
      <c r="B25" s="4" t="s">
        <v>554</v>
      </c>
      <c r="C25" s="4" t="s">
        <v>555</v>
      </c>
      <c r="D25" s="2" t="s">
        <v>294</v>
      </c>
      <c r="E25" s="2" t="s">
        <v>295</v>
      </c>
      <c r="F25" s="2" t="s">
        <v>38</v>
      </c>
      <c r="G25" s="2" t="s">
        <v>556</v>
      </c>
    </row>
    <row r="26" customFormat="false" ht="15" hidden="false" customHeight="false" outlineLevel="0" collapsed="false">
      <c r="A26" s="2" t="s">
        <v>10</v>
      </c>
      <c r="B26" s="4" t="s">
        <v>557</v>
      </c>
      <c r="C26" s="4" t="s">
        <v>558</v>
      </c>
      <c r="D26" s="2" t="s">
        <v>294</v>
      </c>
      <c r="E26" s="2" t="s">
        <v>295</v>
      </c>
      <c r="F26" s="2" t="s">
        <v>38</v>
      </c>
      <c r="G26" s="2" t="s">
        <v>559</v>
      </c>
    </row>
    <row r="27" customFormat="false" ht="15" hidden="false" customHeight="false" outlineLevel="0" collapsed="false">
      <c r="A27" s="2" t="s">
        <v>10</v>
      </c>
      <c r="B27" s="4" t="s">
        <v>560</v>
      </c>
      <c r="C27" s="2" t="s">
        <v>561</v>
      </c>
      <c r="D27" s="2" t="s">
        <v>330</v>
      </c>
      <c r="E27" s="2" t="s">
        <v>331</v>
      </c>
      <c r="F27" s="2" t="s">
        <v>54</v>
      </c>
      <c r="G27" s="4" t="s">
        <v>562</v>
      </c>
    </row>
    <row r="28" customFormat="false" ht="15" hidden="false" customHeight="false" outlineLevel="0" collapsed="false">
      <c r="A28" s="2" t="s">
        <v>10</v>
      </c>
      <c r="B28" s="4" t="s">
        <v>563</v>
      </c>
      <c r="C28" s="4" t="s">
        <v>564</v>
      </c>
      <c r="D28" s="2" t="s">
        <v>330</v>
      </c>
      <c r="E28" s="2" t="s">
        <v>335</v>
      </c>
      <c r="F28" s="2" t="s">
        <v>38</v>
      </c>
      <c r="G28" s="2" t="s">
        <v>565</v>
      </c>
    </row>
    <row r="29" customFormat="false" ht="15" hidden="false" customHeight="false" outlineLevel="0" collapsed="false">
      <c r="A29" s="2" t="s">
        <v>10</v>
      </c>
      <c r="B29" s="4" t="s">
        <v>566</v>
      </c>
      <c r="C29" s="4" t="s">
        <v>567</v>
      </c>
      <c r="D29" s="2" t="s">
        <v>330</v>
      </c>
      <c r="E29" s="4" t="s">
        <v>348</v>
      </c>
      <c r="F29" s="2" t="s">
        <v>38</v>
      </c>
      <c r="G29" s="2" t="s">
        <v>568</v>
      </c>
    </row>
    <row r="30" customFormat="false" ht="15" hidden="false" customHeight="false" outlineLevel="0" collapsed="false">
      <c r="A30" s="2" t="s">
        <v>10</v>
      </c>
      <c r="B30" s="4" t="s">
        <v>569</v>
      </c>
      <c r="C30" s="4" t="s">
        <v>570</v>
      </c>
      <c r="D30" s="2" t="s">
        <v>330</v>
      </c>
      <c r="E30" s="4" t="s">
        <v>348</v>
      </c>
      <c r="F30" s="2" t="s">
        <v>38</v>
      </c>
      <c r="G30" s="2" t="s">
        <v>571</v>
      </c>
    </row>
    <row r="31" customFormat="false" ht="15" hidden="false" customHeight="false" outlineLevel="0" collapsed="false">
      <c r="A31" s="2" t="s">
        <v>50</v>
      </c>
      <c r="B31" s="4" t="s">
        <v>572</v>
      </c>
      <c r="C31" s="2" t="s">
        <v>573</v>
      </c>
      <c r="D31" s="2" t="s">
        <v>330</v>
      </c>
      <c r="E31" s="2" t="s">
        <v>352</v>
      </c>
      <c r="F31" s="2" t="s">
        <v>38</v>
      </c>
      <c r="G31" s="2" t="s">
        <v>574</v>
      </c>
    </row>
    <row r="32" customFormat="false" ht="15" hidden="false" customHeight="false" outlineLevel="0" collapsed="false">
      <c r="A32" s="2" t="s">
        <v>50</v>
      </c>
      <c r="B32" s="4" t="s">
        <v>575</v>
      </c>
      <c r="C32" s="2" t="s">
        <v>576</v>
      </c>
      <c r="D32" s="2" t="s">
        <v>330</v>
      </c>
      <c r="E32" s="2" t="s">
        <v>352</v>
      </c>
      <c r="F32" s="2" t="s">
        <v>38</v>
      </c>
      <c r="G32" s="2" t="s">
        <v>577</v>
      </c>
    </row>
    <row r="33" customFormat="false" ht="15" hidden="false" customHeight="false" outlineLevel="0" collapsed="false">
      <c r="A33" s="2" t="s">
        <v>10</v>
      </c>
      <c r="B33" s="4" t="s">
        <v>578</v>
      </c>
      <c r="C33" s="4" t="s">
        <v>579</v>
      </c>
      <c r="D33" s="2" t="s">
        <v>371</v>
      </c>
      <c r="E33" s="2" t="s">
        <v>372</v>
      </c>
      <c r="F33" s="2" t="s">
        <v>38</v>
      </c>
      <c r="G33" s="2" t="s">
        <v>580</v>
      </c>
    </row>
    <row r="34" customFormat="false" ht="15" hidden="false" customHeight="false" outlineLevel="0" collapsed="false">
      <c r="A34" s="2" t="s">
        <v>10</v>
      </c>
      <c r="B34" s="4" t="s">
        <v>581</v>
      </c>
      <c r="C34" s="4" t="s">
        <v>582</v>
      </c>
      <c r="D34" s="2" t="s">
        <v>371</v>
      </c>
      <c r="E34" s="2" t="s">
        <v>372</v>
      </c>
      <c r="F34" s="2" t="s">
        <v>38</v>
      </c>
      <c r="G34" s="2" t="s">
        <v>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5"/>
  </cols>
  <sheetData>
    <row r="1" customFormat="false" ht="19.4" hidden="false" customHeight="false" outlineLevel="0" collapsed="false">
      <c r="A1" s="12" t="s">
        <v>583</v>
      </c>
    </row>
    <row r="2" customFormat="false" ht="15" hidden="false" customHeight="false" outlineLevel="0" collapsed="false">
      <c r="A2" s="13" t="s">
        <v>16</v>
      </c>
      <c r="B2" s="14" t="s">
        <v>584</v>
      </c>
    </row>
    <row r="3" customFormat="false" ht="15" hidden="false" customHeight="false" outlineLevel="0" collapsed="false">
      <c r="A3" s="13" t="s">
        <v>383</v>
      </c>
      <c r="B3" s="14" t="s">
        <v>585</v>
      </c>
    </row>
    <row r="4" customFormat="false" ht="15" hidden="false" customHeight="false" outlineLevel="0" collapsed="false">
      <c r="A4" s="13" t="s">
        <v>586</v>
      </c>
      <c r="B4" s="14" t="s">
        <v>587</v>
      </c>
    </row>
    <row r="5" customFormat="false" ht="15" hidden="false" customHeight="false" outlineLevel="0" collapsed="false">
      <c r="A5" s="13" t="s">
        <v>588</v>
      </c>
      <c r="B5" s="14" t="s">
        <v>589</v>
      </c>
    </row>
    <row r="6" customFormat="false" ht="15" hidden="false" customHeight="false" outlineLevel="0" collapsed="false">
      <c r="A6" s="13" t="s">
        <v>588</v>
      </c>
      <c r="B6" s="14" t="s">
        <v>590</v>
      </c>
    </row>
    <row r="7" customFormat="false" ht="15" hidden="false" customHeight="false" outlineLevel="0" collapsed="false">
      <c r="A7" s="13" t="s">
        <v>591</v>
      </c>
      <c r="B7" s="14" t="s">
        <v>592</v>
      </c>
    </row>
    <row r="8" customFormat="false" ht="15" hidden="false" customHeight="false" outlineLevel="0" collapsed="false">
      <c r="A8" s="13" t="s">
        <v>593</v>
      </c>
      <c r="B8" s="14" t="s">
        <v>594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2026-10-08T04:17:08Z</dcterms:created>
  <dc:creator>openpyxl</dc:creator>
  <dc:description/>
  <dc:language>en-US</dc:language>
  <cp:lastModifiedBy/>
  <dcterms:modified xsi:type="dcterms:W3CDTF">2026-10-08T04:17:08Z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